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bmlle\Documents\0_DATA\TUM\HEF\FAIRagro\2-UseCases\UC6_IntegratedModeling\Workflows\csmInputTemplate\"/>
    </mc:Choice>
  </mc:AlternateContent>
  <xr:revisionPtr revIDLastSave="0" documentId="13_ncr:1_{2A87C959-3973-409A-8E34-B9683297C604}" xr6:coauthVersionLast="47" xr6:coauthVersionMax="47" xr10:uidLastSave="{00000000-0000-0000-0000-000000000000}"/>
  <bookViews>
    <workbookView xWindow="-120" yWindow="-120" windowWidth="30960" windowHeight="16800" firstSheet="26" activeTab="34" xr2:uid="{00000000-000D-0000-FFFF-FFFF00000000}"/>
  </bookViews>
  <sheets>
    <sheet name="Menu" sheetId="38" r:id="rId1"/>
    <sheet name="ReadMe" sheetId="1" state="hidden" r:id="rId2"/>
    <sheet name="Sheet Index" sheetId="2" state="hidden" r:id="rId3"/>
    <sheet name="EXP_METADATA" sheetId="3" r:id="rId4"/>
    <sheet name="PLOT_DETAILS" sheetId="33" r:id="rId5"/>
    <sheet name="PERSONS" sheetId="4" r:id="rId6"/>
    <sheet name="INSTITUTIONS" sheetId="5" r:id="rId7"/>
    <sheet name="DOCUMENTS" sheetId="6" r:id="rId8"/>
    <sheet name="DropDown" sheetId="29" state="hidden" r:id="rId9"/>
    <sheet name="DynamicDropDown" sheetId="30" state="hidden" r:id="rId10"/>
    <sheet name="Dictionary" sheetId="40" state="hidden" r:id="rId11"/>
    <sheet name="GENOTYPES" sheetId="8" r:id="rId12"/>
    <sheet name="FIELDS" sheetId="9" r:id="rId13"/>
    <sheet name="TILLAGE" sheetId="31" state="hidden" r:id="rId14"/>
    <sheet name="TILLAGE_EVENTS" sheetId="32" state="hidden" r:id="rId15"/>
    <sheet name="INITIAL_CONDITIONS" sheetId="10" r:id="rId16"/>
    <sheet name="INITIAL_COND_LAYERS" sheetId="11" r:id="rId17"/>
    <sheet name="PLANTINGS" sheetId="12" r:id="rId18"/>
    <sheet name="IRRIGATIONS" sheetId="13" r:id="rId19"/>
    <sheet name="IRRIGATION_APPLICATIONS" sheetId="14" r:id="rId20"/>
    <sheet name="ORGANIC_MATERIALS" sheetId="34" r:id="rId21"/>
    <sheet name="ORGANIC_MATERIAL_APPLICS" sheetId="35" r:id="rId22"/>
    <sheet name="FERTILIZERS" sheetId="15" r:id="rId23"/>
    <sheet name="FERTILIZER_APPLICS" sheetId="16" r:id="rId24"/>
    <sheet name="CHEMICALS" sheetId="36" r:id="rId25"/>
    <sheet name="CHEMICAL_APPLICATIONS" sheetId="37" r:id="rId26"/>
    <sheet name="HARVESTS" sheetId="17" r:id="rId27"/>
    <sheet name="HARVEST_EVENTS" sheetId="18" r:id="rId28"/>
    <sheet name="TREATMENTS" sheetId="7" r:id="rId29"/>
    <sheet name="SOIL_METADATA" sheetId="19" state="hidden" r:id="rId30"/>
    <sheet name="SOIL_PROFILES" sheetId="20" state="hidden" r:id="rId31"/>
    <sheet name="SOIL_PROFILE_LAYERS" sheetId="21" state="hidden" r:id="rId32"/>
    <sheet name="WEAT_METADATA" sheetId="22" state="hidden" r:id="rId33"/>
    <sheet name="WEAT_DAILY" sheetId="23" state="hidden" r:id="rId34"/>
    <sheet name="OBS_DATA_LINKS" sheetId="24" r:id="rId35"/>
    <sheet name="SM_GROWTH" sheetId="26" r:id="rId36"/>
    <sheet name="SM_DEVELOPMENT" sheetId="43" r:id="rId37"/>
    <sheet name="SM_NUTRIENTS" sheetId="42" state="hidden" r:id="rId38"/>
    <sheet name="SM_ENVIRONMENT" sheetId="41" state="hidden" r:id="rId39"/>
    <sheet name="SM_SOILS" sheetId="44" state="hidden" r:id="rId40"/>
    <sheet name="SM_WATER_BALANCE" sheetId="45" state="hidden" r:id="rId41"/>
    <sheet name="TS_GROWTH_DEV" sheetId="27" r:id="rId42"/>
    <sheet name="TS_NUTRIENTS" sheetId="46" state="hidden" r:id="rId43"/>
    <sheet name="TS_MANAGEMENT" sheetId="47" state="hidden" r:id="rId44"/>
    <sheet name="TS_PESTS_DISEASES" sheetId="48" state="hidden" r:id="rId45"/>
    <sheet name="TS_ENVIRONMENT" sheetId="49" state="hidden" r:id="rId46"/>
    <sheet name="TS_SOILS" sheetId="50" state="hidden" r:id="rId47"/>
    <sheet name="TS_WATER_BALANCE" sheetId="51" state="hidden" r:id="rId48"/>
    <sheet name="TS_FLOODWATER" sheetId="52" state="hidden" r:id="rId49"/>
    <sheet name="Glossary" sheetId="28" r:id="rId50"/>
  </sheets>
  <functionGroups builtInGroupCount="19"/>
  <definedNames>
    <definedName name="_xlnm._FilterDatabase" localSheetId="10" hidden="1">Dictionary!$A$1:$D$1529</definedName>
    <definedName name="_xlnm._FilterDatabase" localSheetId="49" hidden="1">Glossary!$A$4:$J$458</definedName>
    <definedName name="_xleta.FILTER" hidden="1" xlm="1">#NAME?</definedName>
    <definedName name="_xleta.UNIQUE" hidden="1" xlm="1">#NAME?</definedName>
    <definedName name="ddl_applicationMethod">DropDown!$BG$3:INDEX(DropDown!$BG:$BG, MATCH("zzzz", DropDown!$BG:$BG))</definedName>
    <definedName name="ddl_applicationMethod_sort">_xlfn.ANCHORARRAY(DropDown!$BI$3)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_xlfn.ANCHORARRAY(DropDown!$AK$3)</definedName>
    <definedName name="ddl_element">DropDown!$BJ$3:INDEX(DropDown!$BJ:$BJ, MATCH("zzzz", DropDown!$BJ:$BJ))</definedName>
    <definedName name="ddl_element_sort">_xlfn.ANCHORARRAY(DropDown!$BL$3)</definedName>
    <definedName name="ddl_envmodifCode">_xlfn.ANCHORARRAY(DropDown!$BS$3)</definedName>
    <definedName name="ddl_experiments">_xlfn.ANCHORARRAY(DynamicDropDown!$A$3)</definedName>
    <definedName name="ddl_experimentType">DropDown!$A$3:INDEX(DropDown!$A:$A, MATCH("zzzz", DropDown!$A:$A))</definedName>
    <definedName name="ddl_experimentType_sort">_xlfn.ANCHORARRAY(DropDown!$C$3)</definedName>
    <definedName name="ddl_fertilizerMaterial">DropDown!$BD$3:INDEX(DropDown!$BD:$BD, MATCH("zzzz", DropDown!$BD:$BD))</definedName>
    <definedName name="ddl_fertilizerMaterial_sort">_xlfn.ANCHORARRAY(DropDown!$BF$3)</definedName>
    <definedName name="ddl_harvestComponent">_xlfn._xlws.SORT(DropDown!$BU$3:INDEX(DropDown!$BU:$BU, MATCH("zzzz", DropDown!$BU:$BU)))</definedName>
    <definedName name="ddl_harvestComponent_sort">_xlfn.ANCHORARRAY(DropDown!$BW$3)</definedName>
    <definedName name="ddl_harvestMethod">DropDown!$BX$3:INDEX(DropDown!$BX:$BX, MATCH("zzzz", DropDown!$BX:$BX))</definedName>
    <definedName name="ddl_harvestMethod_sort">_xlfn.ANCHORARRAY(DropDown!$BZ$3)</definedName>
    <definedName name="ddl_harvestSize">_xlfn.ANCHORARRAY(DropDown!$CA$3)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DropDown!$AX$3:INDEX(DropDown!$AX:$AX, MATCH("zzzz", DropDown!$AX:$AX))</definedName>
    <definedName name="ddl_irrigationOperation_sort">_xlfn.ANCHORARRAY(DropDown!$AZ$3)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DropDown!$CE$3:INDEX(DropDown!$CE:$CE, MATCH("zzzz", DropDown!$CE:$CE))</definedName>
    <definedName name="ddl_methodCa">DropDown!$CP$3:INDEX(DropDown!$CP:$CP, MATCH("zzzz", DropDown!$CP:$CP))</definedName>
    <definedName name="ddl_methodCa_sort">_xlfn.ANCHORARRAY(DropDown!$CR$3)</definedName>
    <definedName name="ddl_methodK">DropDown!$CM$3:INDEX(DropDown!$CM:$CM, MATCH("zzzz", DropDown!$CM:$CM))</definedName>
    <definedName name="ddl_methodK_sort">_xlfn.ANCHORARRAY(DropDown!$CO$3)</definedName>
    <definedName name="ddl_methodP">DropDown!$CJ$3:INDEX(DropDown!$CJ:$CJ, MATCH("zzzz", DropDown!$CJ:$CJ))</definedName>
    <definedName name="ddl_methodP_sort">_xlfn.ANCHORARRAY(DropDown!$CL$3)</definedName>
    <definedName name="ddl_methodPHBuffer">DropDown!$CG$3:INDEX(DropDown!$CG:$CG, MATCH("zzzz", DropDown!$CG:$CG))</definedName>
    <definedName name="ddl_methodPHBuffer_sort">_xlfn.ANCHORARRAY(DropDown!$CI$3)</definedName>
    <definedName name="ddl_mulchColor">_xlfn.ANCHORARRAY(DropDown!$AS$3)</definedName>
    <definedName name="ddl_mulchType">DropDown!$AU$3:INDEX(DropDown!$AU:$AU, MATCH("zzzz", DropDown!$AU:$AU))</definedName>
    <definedName name="ddl_mulchType_sort">_xlfn.ANCHORARRAY(DropDown!$AW$3)</definedName>
    <definedName name="ddl_organicFertilizerMaterial">DropDown!$BA$3:INDEX(DropDown!$BA:$BA, MATCH("zzzz", DropDown!$BA:$BA))</definedName>
    <definedName name="ddl_organicFertilizerMaterial_sort">_xlfn.ANCHORARRAY(DropDown!$BC$3)</definedName>
    <definedName name="ddl_pesticideMaterial">DropDown!$BM$3:INDEX(DropDown!$BM:$BM, MATCH("zzzz", DropDown!$BM:$BM))</definedName>
    <definedName name="ddl_pesticideMaterial_sort">_xlfn.ANCHORARRAY(DropDown!$BO$3)</definedName>
    <definedName name="ddl_plantingDistribution">DropDown!$AP$3:INDEX(DropDown!$AP:$AP, MATCH("zzzz", DropDown!$AP:$AP))</definedName>
    <definedName name="ddl_plantingDistribution_sort">_xlfn.ANCHORARRAY(DropDown!$AR$3)</definedName>
    <definedName name="ddl_plantingMaterial">DropDown!$AM$3:INDEX(DropDown!$AM:$AM, MATCH("zzzz", DropDown!$AM:$AM))</definedName>
    <definedName name="ddl_plantingMaterial_sort">_xlfn.ANCHORARRAY(DropDown!$AO$3)</definedName>
    <definedName name="ddl_researcherRole">DropDown!$G$3:INDEX(DropDown!$G:$G, MATCH("zzzz", DropDown!$G:$G))</definedName>
    <definedName name="ddl_researcherRole_sort">_xlfn.ANCHORARRAY(DropDown!$I$3)</definedName>
    <definedName name="ddl_soilDrainage_sort">_xlfn.ANCHORARRAY(DropDown!#REF!)</definedName>
    <definedName name="ddl_soilDrainageClass">DropDown!$CC$3:INDEX(DropDown!$CC:$CC, MATCH("zzzz", DropDown!$CC:$CC))</definedName>
    <definedName name="ddl_soilHorizon">DropDown!$CE$3:INDEX(DropDown!$CE:$CE, MATCH("zzzz", DropDown!$CE:$CE))</definedName>
    <definedName name="ddl_soilProfiles">_xlfn.ANCHORARRAY(DynamicDropDown!$B$3)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_xlfn.ANCHORARRAY(DynamicDropDown!$C$3)</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6" i="7" l="1" a="1"/>
  <c r="B16" i="7" s="1"/>
  <c r="B15" i="7" a="1"/>
  <c r="B15" i="7" s="1"/>
  <c r="B14" i="7" a="1"/>
  <c r="B14" i="7" s="1"/>
  <c r="B13" i="7" a="1"/>
  <c r="B13" i="7" s="1"/>
  <c r="B12" i="7" a="1"/>
  <c r="B12" i="7" s="1"/>
  <c r="B11" i="7" a="1"/>
  <c r="B11" i="7" s="1"/>
  <c r="B10" i="7" a="1"/>
  <c r="B10" i="7" s="1"/>
  <c r="B7" i="17" a="1"/>
  <c r="B7" i="17"/>
  <c r="B8" i="36" a="1"/>
  <c r="B8" i="36" s="1"/>
  <c r="B8" i="15" a="1"/>
  <c r="B8" i="15" s="1"/>
  <c r="B5" i="34" a="1"/>
  <c r="B5" i="34" s="1"/>
  <c r="B7" i="13" a="1"/>
  <c r="B7" i="13"/>
  <c r="B14" i="12" a="1"/>
  <c r="B14" i="12" s="1"/>
  <c r="B13" i="12" a="1"/>
  <c r="B13" i="12" s="1"/>
  <c r="B12" i="12" a="1"/>
  <c r="B12" i="12" s="1"/>
  <c r="B11" i="12" a="1"/>
  <c r="B11" i="12" s="1"/>
  <c r="B10" i="12" a="1"/>
  <c r="B10" i="12" s="1"/>
  <c r="B9" i="12" a="1"/>
  <c r="B9" i="12" s="1"/>
  <c r="B8" i="12" a="1"/>
  <c r="B8" i="12" s="1"/>
  <c r="B7" i="9" a="1"/>
  <c r="B7" i="9" s="1"/>
  <c r="B8" i="8" a="1"/>
  <c r="B8" i="8" s="1"/>
  <c r="B6" i="6" a="1"/>
  <c r="B6" i="6" s="1"/>
  <c r="B8" i="5" a="1"/>
  <c r="B8" i="5"/>
  <c r="B9" i="4" a="1"/>
  <c r="B9" i="4" s="1"/>
  <c r="B7" i="36" a="1"/>
  <c r="B7" i="36" s="1"/>
  <c r="B6" i="36" a="1"/>
  <c r="B6" i="36" s="1"/>
  <c r="NM4" i="30" a="1"/>
  <c r="NM4" i="30" s="1"/>
  <c r="NL4" i="30" a="1"/>
  <c r="NL4" i="30" s="1"/>
  <c r="NK4" i="30" a="1"/>
  <c r="NK4" i="30" s="1"/>
  <c r="NJ4" i="30" a="1"/>
  <c r="NJ4" i="30" s="1"/>
  <c r="NI4" i="30" a="1"/>
  <c r="NI4" i="30" s="1"/>
  <c r="NH4" i="30" a="1"/>
  <c r="NH4" i="30" s="1"/>
  <c r="NG4" i="30" a="1"/>
  <c r="NG4" i="30" s="1"/>
  <c r="NF4" i="30" a="1"/>
  <c r="NF4" i="30" s="1"/>
  <c r="NE4" i="30" a="1"/>
  <c r="NE4" i="30" s="1"/>
  <c r="ND4" i="30" a="1"/>
  <c r="ND4" i="30" s="1"/>
  <c r="NC4" i="30" a="1"/>
  <c r="NC4" i="30" s="1"/>
  <c r="NB4" i="30" a="1"/>
  <c r="NB4" i="30" s="1"/>
  <c r="NA4" i="30" a="1"/>
  <c r="NA4" i="30" s="1"/>
  <c r="MZ4" i="30" a="1"/>
  <c r="MZ4" i="30" s="1"/>
  <c r="MY4" i="30" a="1"/>
  <c r="MY4" i="30" s="1"/>
  <c r="MX4" i="30" a="1"/>
  <c r="MX4" i="30" s="1"/>
  <c r="MW4" i="30" a="1"/>
  <c r="MW4" i="30" s="1"/>
  <c r="MV4" i="30" a="1"/>
  <c r="MV4" i="30" s="1"/>
  <c r="MU4" i="30" a="1"/>
  <c r="MU4" i="30" s="1"/>
  <c r="NO3" i="30" a="1"/>
  <c r="NO3" i="30" s="1"/>
  <c r="MS3" i="30" a="1"/>
  <c r="MS3" i="30" s="1"/>
  <c r="MS4" i="30" s="1" a="1"/>
  <c r="MS4" i="30" s="1"/>
  <c r="B7" i="31" a="1"/>
  <c r="B7" i="31" s="1"/>
  <c r="MT4" i="30" l="1" a="1"/>
  <c r="MT4" i="30" s="1"/>
  <c r="A5" i="23" a="1"/>
  <c r="A5" i="23" s="1"/>
  <c r="B9" i="7" a="1"/>
  <c r="B9" i="7" s="1"/>
  <c r="B8" i="7" a="1"/>
  <c r="B8" i="7" s="1"/>
  <c r="E3" i="30" a="1"/>
  <c r="E3" i="30" s="1"/>
  <c r="KW4" i="30" a="1"/>
  <c r="KW4" i="30" s="1"/>
  <c r="B7" i="15" a="1"/>
  <c r="B7" i="15" s="1"/>
  <c r="JF4" i="30" s="1" a="1"/>
  <c r="JF4" i="30" s="1"/>
  <c r="B6" i="13" a="1"/>
  <c r="B6" i="13" s="1"/>
  <c r="GB4" i="30" s="1" a="1"/>
  <c r="GB4" i="30" s="1"/>
  <c r="B6" i="31" a="1"/>
  <c r="B6" i="31" s="1"/>
  <c r="B7" i="8" a="1"/>
  <c r="B7" i="8" s="1"/>
  <c r="B7" i="12" a="1"/>
  <c r="B7" i="12" s="1"/>
  <c r="FW4" i="30" l="1" a="1"/>
  <c r="FW4" i="30" s="1"/>
  <c r="JE4" i="30" a="1"/>
  <c r="JE4" i="30" s="1"/>
  <c r="KV4" i="30" a="1"/>
  <c r="KV4" i="30" s="1"/>
  <c r="GC4" i="30" a="1"/>
  <c r="GC4" i="30" s="1"/>
  <c r="JG4" i="30" a="1"/>
  <c r="JG4" i="30" s="1"/>
  <c r="KO4" i="30" a="1"/>
  <c r="KO4" i="30" s="1"/>
  <c r="KX4" i="30" a="1"/>
  <c r="KX4" i="30" s="1"/>
  <c r="FT4" i="30" a="1"/>
  <c r="FT4" i="30" s="1"/>
  <c r="IV4" i="30" a="1"/>
  <c r="IV4" i="30" s="1"/>
  <c r="JH4" i="30" a="1"/>
  <c r="JH4" i="30" s="1"/>
  <c r="KY4" i="30" a="1"/>
  <c r="KY4" i="30" s="1"/>
  <c r="KN4" i="30" a="1"/>
  <c r="KN4" i="30" s="1"/>
  <c r="FU4" i="30" a="1"/>
  <c r="FU4" i="30" s="1"/>
  <c r="GD4" i="30" a="1"/>
  <c r="GD4" i="30" s="1"/>
  <c r="IW4" i="30" a="1"/>
  <c r="IW4" i="30" s="1"/>
  <c r="JI4" i="30" a="1"/>
  <c r="JI4" i="30" s="1"/>
  <c r="KP4" i="30" a="1"/>
  <c r="KP4" i="30" s="1"/>
  <c r="KZ4" i="30" a="1"/>
  <c r="KZ4" i="30" s="1"/>
  <c r="FR4" i="30" a="1"/>
  <c r="FR4" i="30" s="1"/>
  <c r="GA4" i="30" a="1"/>
  <c r="GA4" i="30" s="1"/>
  <c r="FV4" i="30" a="1"/>
  <c r="FV4" i="30" s="1"/>
  <c r="GE4" i="30" a="1"/>
  <c r="GE4" i="30" s="1"/>
  <c r="IX4" i="30" a="1"/>
  <c r="IX4" i="30" s="1"/>
  <c r="JJ4" i="30" a="1"/>
  <c r="JJ4" i="30" s="1"/>
  <c r="KQ4" i="30" a="1"/>
  <c r="KQ4" i="30" s="1"/>
  <c r="IY4" i="30" a="1"/>
  <c r="IY4" i="30" s="1"/>
  <c r="JK4" i="30" a="1"/>
  <c r="JK4" i="30" s="1"/>
  <c r="KR4" i="30" a="1"/>
  <c r="KR4" i="30" s="1"/>
  <c r="LA4" i="30" a="1"/>
  <c r="LA4" i="30" s="1"/>
  <c r="GF4" i="30" a="1"/>
  <c r="GF4" i="30" s="1"/>
  <c r="IZ4" i="30" a="1"/>
  <c r="IZ4" i="30" s="1"/>
  <c r="JL4" i="30" a="1"/>
  <c r="JL4" i="30" s="1"/>
  <c r="KS4" i="30" a="1"/>
  <c r="KS4" i="30" s="1"/>
  <c r="FX4" i="30" a="1"/>
  <c r="FX4" i="30" s="1"/>
  <c r="GG4" i="30" a="1"/>
  <c r="GG4" i="30" s="1"/>
  <c r="JA4" i="30" a="1"/>
  <c r="JA4" i="30" s="1"/>
  <c r="JM4" i="30" a="1"/>
  <c r="JM4" i="30" s="1"/>
  <c r="KT4" i="30" a="1"/>
  <c r="KT4" i="30" s="1"/>
  <c r="LB4" i="30" a="1"/>
  <c r="LB4" i="30" s="1"/>
  <c r="FY4" i="30" a="1"/>
  <c r="FY4" i="30" s="1"/>
  <c r="GH4" i="30" a="1"/>
  <c r="GH4" i="30" s="1"/>
  <c r="JB4" i="30" a="1"/>
  <c r="JB4" i="30" s="1"/>
  <c r="KK4" i="30" a="1"/>
  <c r="KK4" i="30" s="1"/>
  <c r="GI4" i="30" a="1"/>
  <c r="GI4" i="30" s="1"/>
  <c r="JC4" i="30" a="1"/>
  <c r="JC4" i="30" s="1"/>
  <c r="KL4" i="30" a="1"/>
  <c r="KL4" i="30" s="1"/>
  <c r="KU4" i="30" a="1"/>
  <c r="KU4" i="30" s="1"/>
  <c r="FZ4" i="30" a="1"/>
  <c r="FZ4" i="30" s="1"/>
  <c r="JD4" i="30" a="1"/>
  <c r="JD4" i="30" s="1"/>
  <c r="KM4" i="30" a="1"/>
  <c r="KM4" i="30" s="1"/>
  <c r="FS4" i="30" a="1"/>
  <c r="FS4" i="30" s="1"/>
  <c r="BX4" i="30" a="1"/>
  <c r="BX4" i="30" s="1"/>
  <c r="CI4" i="30" a="1"/>
  <c r="CI4" i="30" s="1"/>
  <c r="BW4" i="30" a="1"/>
  <c r="BW4" i="30" s="1"/>
  <c r="CH4" i="30" a="1"/>
  <c r="CH4" i="30" s="1"/>
  <c r="BV4" i="30" a="1"/>
  <c r="BV4" i="30" s="1"/>
  <c r="CG4" i="30" a="1"/>
  <c r="CG4" i="30" s="1"/>
  <c r="BU4" i="30" a="1"/>
  <c r="BU4" i="30" s="1"/>
  <c r="BR4" i="30" a="1"/>
  <c r="BR4" i="30" s="1"/>
  <c r="CA4" i="30" a="1"/>
  <c r="CA4" i="30" s="1"/>
  <c r="CF4" i="30" a="1"/>
  <c r="CF4" i="30" s="1"/>
  <c r="BT4" i="30" a="1"/>
  <c r="BT4" i="30" s="1"/>
  <c r="CE4" i="30" a="1"/>
  <c r="CE4" i="30" s="1"/>
  <c r="BS4" i="30" a="1"/>
  <c r="BS4" i="30" s="1"/>
  <c r="CC4" i="30" a="1"/>
  <c r="CC4" i="30" s="1"/>
  <c r="BQ4" i="30" a="1"/>
  <c r="BQ4" i="30" s="1"/>
  <c r="BZ4" i="30" a="1"/>
  <c r="BZ4" i="30" s="1"/>
  <c r="CB4" i="30" a="1"/>
  <c r="CB4" i="30" s="1"/>
  <c r="BY4" i="30" a="1"/>
  <c r="BY4" i="30" s="1"/>
  <c r="CD4" i="30" a="1"/>
  <c r="CD4" i="30" s="1"/>
  <c r="B8" i="4" l="1" a="1"/>
  <c r="B8" i="4" s="1"/>
  <c r="B7" i="5" a="1"/>
  <c r="B7" i="5" s="1"/>
  <c r="B5" i="31" a="1"/>
  <c r="B5" i="31" s="1"/>
  <c r="B6" i="8" a="1"/>
  <c r="B6" i="8" s="1"/>
  <c r="B5" i="13" a="1"/>
  <c r="B5" i="13" s="1"/>
  <c r="B5" i="8" a="1"/>
  <c r="B5" i="8" s="1"/>
  <c r="BC3" i="29" a="1"/>
  <c r="BC3" i="29" s="1"/>
  <c r="AW3" i="29" a="1"/>
  <c r="AW3" i="29" s="1"/>
  <c r="CR3" i="29" a="1"/>
  <c r="CR3" i="29" s="1"/>
  <c r="CO3" i="29" a="1"/>
  <c r="CO3" i="29" s="1"/>
  <c r="CL3" i="29" a="1"/>
  <c r="CL3" i="29" s="1"/>
  <c r="CI3" i="29" a="1"/>
  <c r="CI3" i="29" s="1"/>
  <c r="BO3" i="29" a="1"/>
  <c r="BO3" i="29" s="1"/>
  <c r="BL3" i="29" a="1"/>
  <c r="BL3" i="29" s="1"/>
  <c r="FM4" i="30" l="1" a="1"/>
  <c r="FM4" i="30" s="1"/>
  <c r="FC4" i="30" a="1"/>
  <c r="FC4" i="30" s="1"/>
  <c r="P4" i="30" a="1"/>
  <c r="P4" i="30" s="1"/>
  <c r="Q4" i="30" a="1"/>
  <c r="Q4" i="30" s="1"/>
  <c r="I4" i="30" a="1"/>
  <c r="I4" i="30" s="1"/>
  <c r="V4" i="30" a="1"/>
  <c r="V4" i="30" s="1"/>
  <c r="R4" i="30" a="1"/>
  <c r="R4" i="30" s="1"/>
  <c r="F4" i="30" a="1"/>
  <c r="F4" i="30" s="1"/>
  <c r="S4" i="30" a="1"/>
  <c r="S4" i="30" s="1"/>
  <c r="J4" i="30" a="1"/>
  <c r="J4" i="30" s="1"/>
  <c r="W4" i="30" a="1"/>
  <c r="W4" i="30" s="1"/>
  <c r="G4" i="30" a="1"/>
  <c r="G4" i="30" s="1"/>
  <c r="T4" i="30" a="1"/>
  <c r="T4" i="30" s="1"/>
  <c r="H4" i="30" a="1"/>
  <c r="H4" i="30" s="1"/>
  <c r="U4" i="30" a="1"/>
  <c r="U4" i="30" s="1"/>
  <c r="K4" i="30" a="1"/>
  <c r="K4" i="30" s="1"/>
  <c r="X4" i="30" a="1"/>
  <c r="X4" i="30" s="1"/>
  <c r="L4" i="30" a="1"/>
  <c r="L4" i="30" s="1"/>
  <c r="O4" i="30" a="1"/>
  <c r="O4" i="30" s="1"/>
  <c r="M4" i="30" a="1"/>
  <c r="M4" i="30" s="1"/>
  <c r="E4" i="30" a="1"/>
  <c r="E4" i="30" s="1"/>
  <c r="N4" i="30" a="1"/>
  <c r="N4" i="30" s="1"/>
  <c r="FI4" i="30" a="1"/>
  <c r="FI4" i="30" s="1"/>
  <c r="EX4" i="30" a="1"/>
  <c r="EX4" i="30" s="1"/>
  <c r="FG4" i="30" a="1"/>
  <c r="FG4" i="30" s="1"/>
  <c r="FF4" i="30" a="1"/>
  <c r="FF4" i="30" s="1"/>
  <c r="FE4" i="30" a="1"/>
  <c r="FE4" i="30" s="1"/>
  <c r="FO4" i="30" a="1"/>
  <c r="FO4" i="30" s="1"/>
  <c r="FD4" i="30" a="1"/>
  <c r="FD4" i="30" s="1"/>
  <c r="FN4" i="30" a="1"/>
  <c r="FN4" i="30" s="1"/>
  <c r="FL4" i="30" a="1"/>
  <c r="FL4" i="30" s="1"/>
  <c r="FB4" i="30" a="1"/>
  <c r="FB4" i="30" s="1"/>
  <c r="FH4" i="30" a="1"/>
  <c r="FH4" i="30" s="1"/>
  <c r="FK4" i="30" a="1"/>
  <c r="FK4" i="30" s="1"/>
  <c r="FA4" i="30" a="1"/>
  <c r="FA4" i="30" s="1"/>
  <c r="FJ4" i="30" a="1"/>
  <c r="FJ4" i="30" s="1"/>
  <c r="EZ4" i="30" a="1"/>
  <c r="EZ4" i="30" s="1"/>
  <c r="EY4" i="30" a="1"/>
  <c r="EY4" i="30" s="1"/>
  <c r="HU4" i="30" a="1"/>
  <c r="HU4" i="30" s="1"/>
  <c r="HK4" i="30" a="1"/>
  <c r="HK4" i="30" s="1"/>
  <c r="GX4" i="30" a="1"/>
  <c r="GX4" i="30" s="1"/>
  <c r="GL4" i="30" a="1"/>
  <c r="GL4" i="30" s="1"/>
  <c r="GW4" i="30" a="1"/>
  <c r="GW4" i="30" s="1"/>
  <c r="HS4" i="30" a="1"/>
  <c r="HS4" i="30" s="1"/>
  <c r="HI4" i="30" a="1"/>
  <c r="HI4" i="30" s="1"/>
  <c r="GV4" i="30" a="1"/>
  <c r="GV4" i="30" s="1"/>
  <c r="HR4" i="30" a="1"/>
  <c r="HR4" i="30" s="1"/>
  <c r="HH4" i="30" a="1"/>
  <c r="HH4" i="30" s="1"/>
  <c r="GU4" i="30" a="1"/>
  <c r="GU4" i="30" s="1"/>
  <c r="HD4" i="30" a="1"/>
  <c r="HD4" i="30" s="1"/>
  <c r="HG4" i="30" a="1"/>
  <c r="HG4" i="30" s="1"/>
  <c r="GT4" i="30" a="1"/>
  <c r="GT4" i="30" s="1"/>
  <c r="HQ4" i="30" a="1"/>
  <c r="HQ4" i="30" s="1"/>
  <c r="HF4" i="30" a="1"/>
  <c r="HF4" i="30" s="1"/>
  <c r="GS4" i="30" a="1"/>
  <c r="GS4" i="30" s="1"/>
  <c r="HP4" i="30" a="1"/>
  <c r="HP4" i="30" s="1"/>
  <c r="GR4" i="30" a="1"/>
  <c r="GR4" i="30" s="1"/>
  <c r="HO4" i="30" a="1"/>
  <c r="HO4" i="30" s="1"/>
  <c r="HC4" i="30" a="1"/>
  <c r="HC4" i="30" s="1"/>
  <c r="GQ4" i="30" a="1"/>
  <c r="GQ4" i="30" s="1"/>
  <c r="HX4" i="30" a="1"/>
  <c r="HX4" i="30" s="1"/>
  <c r="HN4" i="30" a="1"/>
  <c r="HN4" i="30" s="1"/>
  <c r="HB4" i="30" a="1"/>
  <c r="HB4" i="30" s="1"/>
  <c r="GP4" i="30" a="1"/>
  <c r="GP4" i="30" s="1"/>
  <c r="HT4" i="30" a="1"/>
  <c r="HT4" i="30" s="1"/>
  <c r="HM4" i="30" a="1"/>
  <c r="HM4" i="30" s="1"/>
  <c r="HA4" i="30" a="1"/>
  <c r="HA4" i="30" s="1"/>
  <c r="GO4" i="30" a="1"/>
  <c r="GO4" i="30" s="1"/>
  <c r="HW4" i="30" a="1"/>
  <c r="HW4" i="30" s="1"/>
  <c r="HL4" i="30" a="1"/>
  <c r="HL4" i="30" s="1"/>
  <c r="GZ4" i="30" a="1"/>
  <c r="GZ4" i="30" s="1"/>
  <c r="GN4" i="30" a="1"/>
  <c r="GN4" i="30" s="1"/>
  <c r="HV4" i="30" a="1"/>
  <c r="HV4" i="30" s="1"/>
  <c r="GY4" i="30" a="1"/>
  <c r="GY4" i="30" s="1"/>
  <c r="GM4" i="30" a="1"/>
  <c r="GM4" i="30" s="1"/>
  <c r="HJ4" i="30" a="1"/>
  <c r="HJ4" i="30" s="1"/>
  <c r="BG4" i="30" a="1"/>
  <c r="BG4" i="30" s="1"/>
  <c r="BF4" i="30" a="1"/>
  <c r="BF4" i="30" s="1"/>
  <c r="AW4" i="30" a="1"/>
  <c r="AW4" i="30" s="1"/>
  <c r="BE4" i="30" a="1"/>
  <c r="BE4" i="30" s="1"/>
  <c r="BC4" i="30" a="1"/>
  <c r="BC4" i="30" s="1"/>
  <c r="BN4" i="30" a="1"/>
  <c r="BN4" i="30" s="1"/>
  <c r="BD4" i="30" a="1"/>
  <c r="BD4" i="30" s="1"/>
  <c r="BM4" i="30" a="1"/>
  <c r="BM4" i="30" s="1"/>
  <c r="BB4" i="30" a="1"/>
  <c r="BB4" i="30" s="1"/>
  <c r="BL4" i="30" a="1"/>
  <c r="BL4" i="30" s="1"/>
  <c r="BA4" i="30" a="1"/>
  <c r="BA4" i="30" s="1"/>
  <c r="BK4" i="30" a="1"/>
  <c r="BK4" i="30" s="1"/>
  <c r="BJ4" i="30" a="1"/>
  <c r="BJ4" i="30" s="1"/>
  <c r="AZ4" i="30" a="1"/>
  <c r="AZ4" i="30" s="1"/>
  <c r="BI4" i="30" a="1"/>
  <c r="BI4" i="30" s="1"/>
  <c r="AY4" i="30" a="1"/>
  <c r="AY4" i="30" s="1"/>
  <c r="BH4" i="30" a="1"/>
  <c r="BH4" i="30" s="1"/>
  <c r="AX4" i="30" a="1"/>
  <c r="AX4" i="30" s="1"/>
  <c r="B6" i="17" a="1"/>
  <c r="B6" i="17" s="1"/>
  <c r="B6" i="15" a="1"/>
  <c r="B6" i="15" s="1"/>
  <c r="B6" i="12" a="1"/>
  <c r="B6" i="12" s="1"/>
  <c r="B6" i="10" a="1"/>
  <c r="B6" i="10" s="1"/>
  <c r="B5" i="15" a="1"/>
  <c r="B5" i="15" s="1"/>
  <c r="IF4" i="30" s="1" a="1"/>
  <c r="IF4" i="30" s="1"/>
  <c r="B5" i="36" a="1"/>
  <c r="B5" i="36" s="1"/>
  <c r="KI3" i="30" a="1"/>
  <c r="JO3" i="30" a="1"/>
  <c r="JO3" i="30" s="1"/>
  <c r="HE3" i="30" a="1"/>
  <c r="HE3" i="30" s="1"/>
  <c r="GK3" i="30" a="1"/>
  <c r="GK3" i="30" s="1"/>
  <c r="GK4" i="30" s="1" a="1"/>
  <c r="GK4" i="30" s="1"/>
  <c r="BO3" i="30" a="1"/>
  <c r="AU3" i="30" a="1"/>
  <c r="B5" i="17" a="1"/>
  <c r="B5" i="17" s="1"/>
  <c r="B7" i="7" a="1"/>
  <c r="B7" i="7" s="1"/>
  <c r="B6" i="7" a="1"/>
  <c r="B6" i="7" s="1"/>
  <c r="B5" i="12" a="1"/>
  <c r="B5" i="12" s="1"/>
  <c r="B6" i="9" a="1"/>
  <c r="B6" i="9" s="1"/>
  <c r="B6" i="5" a="1"/>
  <c r="B6" i="5" s="1"/>
  <c r="B7" i="4" a="1"/>
  <c r="B7" i="4" s="1"/>
  <c r="B6" i="4" a="1"/>
  <c r="B6" i="4" s="1"/>
  <c r="KI3" i="30" l="1"/>
  <c r="KJ4" i="30" a="1"/>
  <c r="KJ4" i="30" s="1"/>
  <c r="NG6" i="30" a="1"/>
  <c r="NG6" i="30" s="1"/>
  <c r="NF6" i="30" a="1"/>
  <c r="NF6" i="30" s="1"/>
  <c r="NE6" i="30" a="1"/>
  <c r="NE6" i="30" s="1"/>
  <c r="NI6" i="30" a="1"/>
  <c r="NI6" i="30" s="1"/>
  <c r="NH6" i="30" a="1"/>
  <c r="NH6" i="30" s="1"/>
  <c r="NM6" i="30" a="1"/>
  <c r="NM6" i="30" s="1"/>
  <c r="NL6" i="30" a="1"/>
  <c r="NL6" i="30" s="1"/>
  <c r="NK6" i="30" a="1"/>
  <c r="NK6" i="30" s="1"/>
  <c r="NJ6" i="30" a="1"/>
  <c r="NJ6" i="30" s="1"/>
  <c r="CV4" i="30" a="1"/>
  <c r="CV4" i="30" s="1"/>
  <c r="CQ4" i="30" a="1"/>
  <c r="CQ4" i="30" s="1"/>
  <c r="DB4" i="30" a="1"/>
  <c r="DB4" i="30" s="1"/>
  <c r="DA4" i="30" a="1"/>
  <c r="DA4" i="30" s="1"/>
  <c r="CR4" i="30" a="1"/>
  <c r="CR4" i="30" s="1"/>
  <c r="MG4" i="30" a="1"/>
  <c r="MG4" i="30" s="1"/>
  <c r="MQ4" i="30" a="1"/>
  <c r="MQ4" i="30" s="1"/>
  <c r="ME4" i="30" a="1"/>
  <c r="ME4" i="30" s="1"/>
  <c r="MP4" i="30" a="1"/>
  <c r="MP4" i="30" s="1"/>
  <c r="MD4" i="30" a="1"/>
  <c r="MD4" i="30" s="1"/>
  <c r="MO4" i="30" a="1"/>
  <c r="MO4" i="30" s="1"/>
  <c r="MC4" i="30" a="1"/>
  <c r="MC4" i="30" s="1"/>
  <c r="MN4" i="30" a="1"/>
  <c r="MN4" i="30" s="1"/>
  <c r="MB4" i="30" a="1"/>
  <c r="MB4" i="30" s="1"/>
  <c r="MM4" i="30" a="1"/>
  <c r="MM4" i="30" s="1"/>
  <c r="MA4" i="30" a="1"/>
  <c r="MA4" i="30" s="1"/>
  <c r="ML4" i="30" a="1"/>
  <c r="ML4" i="30" s="1"/>
  <c r="LZ4" i="30" a="1"/>
  <c r="LZ4" i="30" s="1"/>
  <c r="MK4" i="30" a="1"/>
  <c r="MK4" i="30" s="1"/>
  <c r="MJ4" i="30" a="1"/>
  <c r="MJ4" i="30" s="1"/>
  <c r="MI4" i="30" a="1"/>
  <c r="MI4" i="30" s="1"/>
  <c r="MH4" i="30" a="1"/>
  <c r="MH4" i="30" s="1"/>
  <c r="MF4" i="30" a="1"/>
  <c r="MF4" i="30" s="1"/>
  <c r="KC4" i="30" a="1"/>
  <c r="KC4" i="30" s="1"/>
  <c r="JS4" i="30" a="1"/>
  <c r="JS4" i="30" s="1"/>
  <c r="KA4" i="30" a="1"/>
  <c r="KA4" i="30" s="1"/>
  <c r="JQ4" i="30" a="1"/>
  <c r="JQ4" i="30" s="1"/>
  <c r="JZ4" i="30" a="1"/>
  <c r="JZ4" i="30" s="1"/>
  <c r="JP4" i="30" a="1"/>
  <c r="JP4" i="30" s="1"/>
  <c r="JO4" i="30" a="1"/>
  <c r="JO4" i="30" s="1"/>
  <c r="JY4" i="30" a="1"/>
  <c r="JY4" i="30" s="1"/>
  <c r="KH4" i="30" a="1"/>
  <c r="KH4" i="30" s="1"/>
  <c r="JX4" i="30" a="1"/>
  <c r="JX4" i="30" s="1"/>
  <c r="KG4" i="30" a="1"/>
  <c r="KG4" i="30" s="1"/>
  <c r="JW4" i="30" a="1"/>
  <c r="JW4" i="30" s="1"/>
  <c r="KF4" i="30" a="1"/>
  <c r="KF4" i="30" s="1"/>
  <c r="JV4" i="30" a="1"/>
  <c r="JV4" i="30" s="1"/>
  <c r="JU4" i="30" a="1"/>
  <c r="JU4" i="30" s="1"/>
  <c r="JR4" i="30" a="1"/>
  <c r="JR4" i="30" s="1"/>
  <c r="KE4" i="30" a="1"/>
  <c r="KE4" i="30" s="1"/>
  <c r="JT4" i="30" a="1"/>
  <c r="JT4" i="30" s="1"/>
  <c r="KD4" i="30" a="1"/>
  <c r="KD4" i="30" s="1"/>
  <c r="KB4" i="30" a="1"/>
  <c r="KB4" i="30" s="1"/>
  <c r="IS4" i="30" a="1"/>
  <c r="IS4" i="30" s="1"/>
  <c r="IG4" i="30" a="1"/>
  <c r="IG4" i="30" s="1"/>
  <c r="IQ4" i="30" a="1"/>
  <c r="IQ4" i="30" s="1"/>
  <c r="IE4" i="30" a="1"/>
  <c r="IE4" i="30" s="1"/>
  <c r="IP4" i="30" a="1"/>
  <c r="IP4" i="30" s="1"/>
  <c r="ID4" i="30" a="1"/>
  <c r="ID4" i="30" s="1"/>
  <c r="IO4" i="30" a="1"/>
  <c r="IO4" i="30" s="1"/>
  <c r="IC4" i="30" a="1"/>
  <c r="IC4" i="30" s="1"/>
  <c r="IN4" i="30" a="1"/>
  <c r="IN4" i="30" s="1"/>
  <c r="IB4" i="30" a="1"/>
  <c r="IB4" i="30" s="1"/>
  <c r="IM4" i="30" a="1"/>
  <c r="IM4" i="30" s="1"/>
  <c r="IL4" i="30" a="1"/>
  <c r="IL4" i="30" s="1"/>
  <c r="IK4" i="30" a="1"/>
  <c r="IK4" i="30" s="1"/>
  <c r="IR4" i="30" a="1"/>
  <c r="IR4" i="30" s="1"/>
  <c r="IJ4" i="30" a="1"/>
  <c r="IJ4" i="30" s="1"/>
  <c r="II4" i="30" a="1"/>
  <c r="II4" i="30" s="1"/>
  <c r="IH4" i="30" a="1"/>
  <c r="IH4" i="30" s="1"/>
  <c r="LT4" i="30" a="1"/>
  <c r="LT4" i="30" s="1"/>
  <c r="LH4" i="30" a="1"/>
  <c r="LH4" i="30" s="1"/>
  <c r="LR4" i="30" a="1"/>
  <c r="LR4" i="30" s="1"/>
  <c r="LF4" i="30" a="1"/>
  <c r="LF4" i="30" s="1"/>
  <c r="LQ4" i="30" a="1"/>
  <c r="LQ4" i="30" s="1"/>
  <c r="LP4" i="30" a="1"/>
  <c r="LP4" i="30" s="1"/>
  <c r="LO4" i="30" a="1"/>
  <c r="LO4" i="30" s="1"/>
  <c r="LN4" i="30" a="1"/>
  <c r="LN4" i="30" s="1"/>
  <c r="LM4" i="30" a="1"/>
  <c r="LM4" i="30" s="1"/>
  <c r="LL4" i="30" a="1"/>
  <c r="LL4" i="30" s="1"/>
  <c r="LG4" i="30" a="1"/>
  <c r="LG4" i="30" s="1"/>
  <c r="LW4" i="30" a="1"/>
  <c r="LW4" i="30" s="1"/>
  <c r="LK4" i="30" a="1"/>
  <c r="LK4" i="30" s="1"/>
  <c r="LS4" i="30" a="1"/>
  <c r="LS4" i="30" s="1"/>
  <c r="LV4" i="30" a="1"/>
  <c r="LV4" i="30" s="1"/>
  <c r="LJ4" i="30" a="1"/>
  <c r="LJ4" i="30" s="1"/>
  <c r="LU4" i="30" a="1"/>
  <c r="LU4" i="30" s="1"/>
  <c r="LI4" i="30" a="1"/>
  <c r="LI4" i="30" s="1"/>
  <c r="CW4" i="30" a="1"/>
  <c r="CW4" i="30" s="1"/>
  <c r="CU4" i="30" a="1"/>
  <c r="CU4" i="30" s="1"/>
  <c r="CT4" i="30" a="1"/>
  <c r="CT4" i="30" s="1"/>
  <c r="DD4" i="30" a="1"/>
  <c r="DD4" i="30" s="1"/>
  <c r="CS4" i="30" a="1"/>
  <c r="CS4" i="30" s="1"/>
  <c r="DC4" i="30" a="1"/>
  <c r="DC4" i="30" s="1"/>
  <c r="CZ4" i="30" a="1"/>
  <c r="CZ4" i="30" s="1"/>
  <c r="CP4" i="30" a="1"/>
  <c r="CP4" i="30" s="1"/>
  <c r="CY4" i="30" a="1"/>
  <c r="CY4" i="30" s="1"/>
  <c r="CO4" i="30" a="1"/>
  <c r="CO4" i="30" s="1"/>
  <c r="CN4" i="30" a="1"/>
  <c r="CN4" i="30" s="1"/>
  <c r="CX4" i="30" a="1"/>
  <c r="CX4" i="30" s="1"/>
  <c r="CM4" i="30" a="1"/>
  <c r="CM4" i="30" s="1"/>
  <c r="EN4" i="30" a="1"/>
  <c r="EN4" i="30" s="1"/>
  <c r="EF4" i="30" a="1"/>
  <c r="EF4" i="30" s="1"/>
  <c r="EM4" i="30" a="1"/>
  <c r="EM4" i="30" s="1"/>
  <c r="ED4" i="30" a="1"/>
  <c r="ED4" i="30" s="1"/>
  <c r="EC4" i="30" a="1"/>
  <c r="EC4" i="30" s="1"/>
  <c r="ES4" i="30" a="1"/>
  <c r="ES4" i="30" s="1"/>
  <c r="EA4" i="30" a="1"/>
  <c r="EA4" i="30" s="1"/>
  <c r="ET4" i="30" a="1"/>
  <c r="ET4" i="30" s="1"/>
  <c r="EL4" i="30" a="1"/>
  <c r="EL4" i="30" s="1"/>
  <c r="EB4" i="30" a="1"/>
  <c r="EB4" i="30" s="1"/>
  <c r="EJ4" i="30" a="1"/>
  <c r="EJ4" i="30" s="1"/>
  <c r="EK4" i="30" a="1"/>
  <c r="EK4" i="30" s="1"/>
  <c r="ER4" i="30" a="1"/>
  <c r="ER4" i="30" s="1"/>
  <c r="EH4" i="30" a="1"/>
  <c r="EH4" i="30" s="1"/>
  <c r="EE4" i="30" a="1"/>
  <c r="EE4" i="30" s="1"/>
  <c r="EQ4" i="30" a="1"/>
  <c r="EQ4" i="30" s="1"/>
  <c r="EP4" i="30" a="1"/>
  <c r="EP4" i="30" s="1"/>
  <c r="EG4" i="30" a="1"/>
  <c r="EG4" i="30" s="1"/>
  <c r="EI4" i="30" a="1"/>
  <c r="EI4" i="30" s="1"/>
  <c r="EO4" i="30" a="1"/>
  <c r="EO4" i="30" s="1"/>
  <c r="BO3" i="30"/>
  <c r="BP4" i="30" a="1"/>
  <c r="BP4" i="30" s="1"/>
  <c r="AU3" i="30"/>
  <c r="AU4" i="30" s="1" a="1"/>
  <c r="AU4" i="30" s="1"/>
  <c r="AV4" i="30" a="1"/>
  <c r="AV4" i="30" s="1"/>
  <c r="BO4" i="30" l="1" a="1"/>
  <c r="BO4" i="30" s="1"/>
  <c r="B5" i="4" a="1"/>
  <c r="B5" i="4" s="1"/>
  <c r="B5" i="7" a="1"/>
  <c r="B5" i="7" s="1"/>
  <c r="C3" i="30" a="1"/>
  <c r="C3" i="30" s="1"/>
  <c r="B3" i="30" a="1"/>
  <c r="B3" i="30" s="1"/>
  <c r="B5" i="10" a="1"/>
  <c r="B5" i="10" s="1"/>
  <c r="B5" i="9" a="1"/>
  <c r="B5" i="9" s="1"/>
  <c r="B5" i="6" a="1"/>
  <c r="B5" i="6" s="1"/>
  <c r="B5" i="5" a="1"/>
  <c r="B5" i="5" s="1"/>
  <c r="A3" i="30" a="1"/>
  <c r="A3" i="30" s="1"/>
  <c r="LX3" i="30" a="1"/>
  <c r="LY4" i="30" s="1" a="1"/>
  <c r="LY4" i="30" s="1"/>
  <c r="IT3" i="30" a="1"/>
  <c r="FP3" i="30" a="1"/>
  <c r="DZ3" i="30" a="1"/>
  <c r="DZ3" i="30" s="1"/>
  <c r="Z3" i="30" a="1"/>
  <c r="Z3" i="30" s="1"/>
  <c r="DF3" i="30" a="1"/>
  <c r="DF3" i="30" s="1"/>
  <c r="CK3" i="30" a="1"/>
  <c r="LD3" i="30" a="1"/>
  <c r="HZ3" i="30" a="1"/>
  <c r="EV3" i="30" a="1"/>
  <c r="BZ3" i="29" a="1"/>
  <c r="BZ3" i="29" s="1"/>
  <c r="BW3" i="29" a="1"/>
  <c r="BW3" i="29" s="1"/>
  <c r="BI3" i="29" a="1"/>
  <c r="BI3" i="29" s="1"/>
  <c r="BF3" i="29" a="1"/>
  <c r="BF3" i="29" s="1"/>
  <c r="AZ3" i="29" a="1"/>
  <c r="AZ3" i="29" s="1"/>
  <c r="AR3" i="29" a="1"/>
  <c r="AR3" i="29" s="1"/>
  <c r="AO3" i="29" a="1"/>
  <c r="AO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LD3" i="30" l="1"/>
  <c r="LD4" i="30" s="1" a="1"/>
  <c r="LD4" i="30" s="1"/>
  <c r="LE4" i="30" a="1"/>
  <c r="LE4" i="30" s="1"/>
  <c r="IT3" i="30"/>
  <c r="IT4" i="30" s="1" a="1"/>
  <c r="IT4" i="30" s="1"/>
  <c r="IU4" i="30" a="1"/>
  <c r="IU4" i="30" s="1"/>
  <c r="HZ3" i="30"/>
  <c r="HZ4" i="30" s="1" a="1"/>
  <c r="HZ4" i="30" s="1"/>
  <c r="IA4" i="30" a="1"/>
  <c r="IA4" i="30" s="1"/>
  <c r="EV3" i="30"/>
  <c r="EV4" i="30" s="1" a="1"/>
  <c r="EV4" i="30" s="1"/>
  <c r="EW4" i="30" a="1"/>
  <c r="EW4" i="30" s="1"/>
  <c r="FP3" i="30"/>
  <c r="FQ4" i="30" a="1"/>
  <c r="FQ4" i="30" s="1"/>
  <c r="CK3" i="30"/>
  <c r="CK4" i="30" s="1" a="1"/>
  <c r="CK4" i="30" s="1"/>
  <c r="CL4" i="30" a="1"/>
  <c r="CL4" i="30" s="1"/>
  <c r="OH4" i="30" a="1"/>
  <c r="OH4" i="30" s="1"/>
  <c r="NV4" i="30" a="1"/>
  <c r="NV4" i="30" s="1"/>
  <c r="OE4" i="30" a="1"/>
  <c r="OE4" i="30" s="1"/>
  <c r="NS4" i="30" a="1"/>
  <c r="NS4" i="30" s="1"/>
  <c r="NO4" i="30" a="1"/>
  <c r="NO4" i="30" s="1"/>
  <c r="NZ4" i="30" a="1"/>
  <c r="NZ4" i="30" s="1"/>
  <c r="NY4" i="30" a="1"/>
  <c r="NY4" i="30" s="1"/>
  <c r="OG4" i="30" a="1"/>
  <c r="OG4" i="30" s="1"/>
  <c r="NU4" i="30" a="1"/>
  <c r="NU4" i="30" s="1"/>
  <c r="OD4" i="30" a="1"/>
  <c r="OD4" i="30" s="1"/>
  <c r="NQ4" i="30" a="1"/>
  <c r="NQ4" i="30" s="1"/>
  <c r="OF4" i="30" a="1"/>
  <c r="OF4" i="30" s="1"/>
  <c r="NT4" i="30" a="1"/>
  <c r="NT4" i="30" s="1"/>
  <c r="NR4" i="30" a="1"/>
  <c r="NR4" i="30" s="1"/>
  <c r="NX4" i="30" a="1"/>
  <c r="NX4" i="30" s="1"/>
  <c r="NW4" i="30" a="1"/>
  <c r="NW4" i="30" s="1"/>
  <c r="OC4" i="30" a="1"/>
  <c r="OC4" i="30" s="1"/>
  <c r="OB4" i="30" a="1"/>
  <c r="OB4" i="30" s="1"/>
  <c r="NP4" i="30" a="1"/>
  <c r="NP4" i="30" s="1"/>
  <c r="OA4" i="30" a="1"/>
  <c r="OA4" i="30" s="1"/>
  <c r="DT4" i="30" a="1"/>
  <c r="DT4" i="30" s="1"/>
  <c r="DH4" i="30" a="1"/>
  <c r="DH4" i="30" s="1"/>
  <c r="DS4" i="30" a="1"/>
  <c r="DS4" i="30" s="1"/>
  <c r="DR4" i="30" a="1"/>
  <c r="DR4" i="30" s="1"/>
  <c r="DF4" i="30" a="1"/>
  <c r="DF4" i="30" s="1"/>
  <c r="DQ4" i="30" a="1"/>
  <c r="DQ4" i="30" s="1"/>
  <c r="DN4" i="30" a="1"/>
  <c r="DN4" i="30" s="1"/>
  <c r="DP4" i="30" a="1"/>
  <c r="DP4" i="30" s="1"/>
  <c r="DO4" i="30" a="1"/>
  <c r="DO4" i="30" s="1"/>
  <c r="DX4" i="30" a="1"/>
  <c r="DX4" i="30" s="1"/>
  <c r="DL4" i="30" a="1"/>
  <c r="DL4" i="30" s="1"/>
  <c r="DG4" i="30" a="1"/>
  <c r="DG4" i="30" s="1"/>
  <c r="DW4" i="30" a="1"/>
  <c r="DW4" i="30" s="1"/>
  <c r="DK4" i="30" a="1"/>
  <c r="DK4" i="30" s="1"/>
  <c r="DV4" i="30" a="1"/>
  <c r="DV4" i="30" s="1"/>
  <c r="DJ4" i="30" a="1"/>
  <c r="DJ4" i="30" s="1"/>
  <c r="DY4" i="30" a="1"/>
  <c r="DY4" i="30" s="1"/>
  <c r="DM4" i="30" a="1"/>
  <c r="DM4" i="30" s="1"/>
  <c r="DU4" i="30" a="1"/>
  <c r="DU4" i="30" s="1"/>
  <c r="DI4" i="30" a="1"/>
  <c r="DI4" i="30" s="1"/>
  <c r="LX3" i="30"/>
  <c r="LX4" i="30" s="1" a="1"/>
  <c r="LX4" i="30" s="1"/>
  <c r="CI6" i="30" a="1"/>
  <c r="CI6" i="30" s="1"/>
  <c r="CE6" i="30" a="1"/>
  <c r="CE6" i="30" s="1"/>
  <c r="CD6" i="30" a="1"/>
  <c r="CD6" i="30" s="1"/>
  <c r="CG6" i="30" a="1"/>
  <c r="CG6" i="30" s="1"/>
  <c r="CF6" i="30" a="1"/>
  <c r="CF6" i="30" s="1"/>
  <c r="CH6" i="30" a="1"/>
  <c r="CH6" i="30" s="1"/>
  <c r="CB6" i="30" a="1"/>
  <c r="CB6" i="30" s="1"/>
  <c r="CC6" i="30" a="1"/>
  <c r="CC6" i="30" s="1"/>
  <c r="CA6" i="30" a="1"/>
  <c r="CA6" i="30" s="1"/>
  <c r="HE4" i="30" a="1"/>
  <c r="HE4" i="30" s="1"/>
  <c r="KI4" i="30" a="1"/>
  <c r="KI4" i="30" s="1"/>
  <c r="AJ4" i="30" a="1"/>
  <c r="AJ4" i="30" s="1"/>
  <c r="AB4" i="30" a="1"/>
  <c r="AB4" i="30" s="1"/>
  <c r="AN4" i="30" a="1"/>
  <c r="AN4" i="30" s="1"/>
  <c r="AP4" i="30" a="1"/>
  <c r="AP4" i="30" s="1"/>
  <c r="AA4" i="30" a="1"/>
  <c r="AA4" i="30" s="1"/>
  <c r="AD4" i="30" a="1"/>
  <c r="AD4" i="30" s="1"/>
  <c r="AM4" i="30" a="1"/>
  <c r="AM4" i="30" s="1"/>
  <c r="AK4" i="30" a="1"/>
  <c r="AK4" i="30" s="1"/>
  <c r="ES6" i="30" a="1"/>
  <c r="ES6" i="30" s="1"/>
  <c r="Z4" i="30" a="1"/>
  <c r="Z4" i="30" s="1"/>
  <c r="AL4" i="30" a="1"/>
  <c r="AL4" i="30" s="1"/>
  <c r="ET6" i="30" a="1"/>
  <c r="ET6" i="30" s="1"/>
  <c r="DZ4" i="30" a="1"/>
  <c r="DZ4" i="30" s="1"/>
  <c r="AC4" i="30" a="1"/>
  <c r="AC4" i="30" s="1"/>
  <c r="AO4" i="30" a="1"/>
  <c r="AO4" i="30" s="1"/>
  <c r="EL6" i="30" a="1"/>
  <c r="EL6" i="30" s="1"/>
  <c r="AE4" i="30" a="1"/>
  <c r="AE4" i="30" s="1"/>
  <c r="AQ4" i="30" a="1"/>
  <c r="AQ4" i="30" s="1"/>
  <c r="EM6" i="30" a="1"/>
  <c r="EM6" i="30" s="1"/>
  <c r="AF4" i="30" a="1"/>
  <c r="AF4" i="30" s="1"/>
  <c r="AR4" i="30" a="1"/>
  <c r="AR4" i="30" s="1"/>
  <c r="EN6" i="30" a="1"/>
  <c r="EN6" i="30" s="1"/>
  <c r="AG4" i="30" a="1"/>
  <c r="AG4" i="30" s="1"/>
  <c r="AS4" i="30" a="1"/>
  <c r="AS4" i="30" s="1"/>
  <c r="EO6" i="30" a="1"/>
  <c r="EO6" i="30" s="1"/>
  <c r="AH4" i="30" a="1"/>
  <c r="AH4" i="30" s="1"/>
  <c r="EP6" i="30" a="1"/>
  <c r="EP6" i="30" s="1"/>
  <c r="FP4" i="30" a="1"/>
  <c r="FP4" i="30" s="1"/>
  <c r="AI4" i="30" a="1"/>
  <c r="AI4" i="30" s="1"/>
  <c r="EQ6" i="30" a="1"/>
  <c r="EQ6" i="30" s="1"/>
  <c r="ER6" i="30" a="1"/>
  <c r="ER6" i="30" s="1"/>
  <c r="AD3" i="29" a="1"/>
  <c r="AD3" i="29"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<sst xmlns="http://schemas.openxmlformats.org/spreadsheetml/2006/main" count="17464" uniqueCount="7044">
  <si>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</si>
  <si>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</si>
  <si>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</si>
  <si>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</si>
  <si>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</si>
  <si>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</si>
  <si>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</si>
  <si>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</si>
  <si>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</si>
  <si>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</si>
  <si>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</si>
  <si>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</si>
  <si>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</si>
  <si>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</si>
  <si>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</si>
  <si>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</si>
  <si>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</si>
  <si>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</si>
  <si>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</si>
  <si>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</si>
  <si>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</si>
  <si>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</si>
  <si>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</si>
  <si>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</si>
  <si>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</si>
  <si>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</si>
  <si>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</si>
  <si>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</si>
  <si>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</si>
  <si>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</si>
  <si>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</si>
  <si>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</si>
  <si>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</si>
  <si>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</si>
  <si>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</si>
  <si>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</si>
  <si>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</si>
  <si>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</si>
  <si>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</si>
  <si>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</si>
  <si>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</si>
  <si>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</si>
  <si>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</si>
  <si>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</si>
  <si>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</si>
  <si>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</si>
  <si>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</si>
  <si>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</si>
  <si>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</si>
  <si>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</si>
  <si>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</si>
  <si>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</si>
  <si>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</si>
  <si>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</si>
  <si>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</si>
  <si>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</si>
  <si>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</si>
  <si>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</si>
  <si>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</si>
  <si>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</si>
  <si>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</si>
  <si>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</si>
  <si>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</si>
  <si>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</si>
  <si>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</si>
  <si>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</si>
  <si>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</si>
  <si>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</si>
  <si>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</si>
  <si>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</si>
  <si>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</si>
  <si>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</si>
  <si>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</si>
  <si>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</si>
  <si>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</si>
  <si>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</si>
  <si>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</si>
  <si>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</si>
  <si>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</si>
  <si>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</si>
  <si>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</si>
  <si>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</si>
  <si>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</si>
  <si>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</si>
  <si>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</si>
  <si>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</si>
  <si>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</si>
  <si>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</si>
  <si>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</si>
  <si>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</si>
  <si>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</si>
  <si>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</si>
  <si>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</si>
  <si>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</si>
  <si>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</si>
  <si>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</si>
  <si>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</si>
  <si>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</si>
  <si>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</si>
  <si>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</si>
  <si>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</si>
  <si>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</si>
  <si>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</si>
  <si>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</si>
  <si>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</si>
  <si>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</si>
  <si>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</si>
  <si>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</si>
  <si>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</si>
  <si>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</si>
  <si>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</si>
  <si>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</si>
  <si>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</si>
  <si>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</si>
  <si>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</si>
  <si>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</si>
  <si>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</si>
  <si>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</si>
  <si>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</si>
  <si>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</si>
  <si>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</si>
  <si>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</si>
  <si>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</si>
  <si>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</si>
  <si>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</si>
  <si>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</si>
  <si>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</si>
  <si>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</si>
  <si>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</si>
  <si>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</si>
  <si>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</si>
  <si>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</si>
  <si>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</si>
  <si>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</si>
  <si>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</si>
  <si>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</si>
  <si>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</si>
  <si>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</si>
  <si>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</si>
  <si>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</si>
  <si>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</si>
  <si>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</si>
  <si>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</si>
  <si>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</si>
  <si>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</si>
  <si>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</si>
  <si>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</si>
  <si>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</si>
  <si>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</si>
  <si>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</si>
  <si>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</si>
  <si>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</si>
  <si>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</si>
  <si>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</si>
  <si>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</si>
  <si>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</si>
  <si>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</si>
  <si>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</si>
  <si>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</si>
  <si>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</si>
  <si>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</si>
  <si>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</si>
  <si>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</si>
  <si>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</si>
  <si>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</si>
  <si>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</si>
  <si>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</si>
  <si>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</si>
  <si>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</si>
  <si>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</si>
  <si>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</si>
  <si>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</si>
  <si>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</si>
  <si>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</si>
  <si>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</si>
  <si>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</si>
  <si>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</si>
  <si>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</si>
  <si>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</si>
  <si>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</si>
  <si>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</si>
  <si>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</si>
  <si>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</si>
  <si>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</si>
  <si>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</si>
  <si>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</si>
  <si>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</si>
  <si>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</si>
  <si>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</si>
  <si>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</si>
  <si>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</si>
  <si>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</si>
  <si>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</si>
  <si>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</si>
  <si>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</si>
  <si>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</si>
  <si>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</si>
  <si>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</si>
  <si>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</si>
  <si>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</si>
  <si>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</si>
  <si>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</si>
  <si>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</si>
  <si>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</si>
  <si>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</si>
  <si>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</si>
  <si>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</si>
  <si>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</si>
  <si>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</si>
  <si>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</si>
  <si>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</si>
  <si>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</si>
  <si>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</si>
  <si>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</si>
  <si>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</si>
  <si>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</si>
  <si>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</si>
  <si>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</si>
  <si>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</si>
  <si>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</si>
  <si>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</si>
  <si>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</si>
  <si>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</si>
  <si>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</si>
  <si>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</si>
  <si>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</si>
  <si>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</si>
  <si>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</si>
  <si>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</si>
  <si>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</si>
  <si>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</si>
  <si>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</si>
  <si>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</si>
  <si>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</si>
  <si>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</si>
  <si>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</si>
  <si>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</si>
  <si>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</si>
  <si>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</si>
  <si>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</si>
  <si>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</si>
  <si>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</si>
  <si>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</si>
  <si>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</si>
  <si>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</si>
  <si>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</si>
  <si>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</si>
  <si>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</si>
  <si>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</si>
  <si>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</si>
  <si>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</si>
  <si>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</si>
  <si>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</si>
  <si>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</si>
  <si>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</si>
  <si>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</si>
  <si>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</si>
  <si>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</si>
  <si>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</si>
  <si>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</si>
  <si>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</si>
  <si>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</si>
  <si>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</si>
  <si>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</si>
  <si>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</si>
  <si>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</si>
  <si>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</si>
  <si>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</si>
  <si>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</si>
  <si>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</si>
  <si>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</si>
  <si>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</si>
  <si>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</si>
  <si>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</si>
  <si>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</si>
  <si>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</si>
  <si>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</si>
  <si>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</si>
  <si>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</si>
  <si>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</si>
  <si>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</si>
  <si>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</si>
  <si>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</si>
  <si>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</si>
  <si>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</si>
  <si>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</si>
  <si>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</si>
  <si>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</si>
  <si>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</si>
  <si>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</si>
  <si>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</si>
  <si>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</si>
  <si>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</si>
  <si>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</si>
  <si>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</si>
  <si>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</si>
  <si>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</si>
  <si>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</si>
  <si>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</si>
  <si>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</si>
  <si>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</si>
  <si>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</si>
  <si>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</si>
  <si>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</si>
  <si>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</si>
  <si>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</si>
  <si>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</si>
  <si>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</si>
  <si>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</si>
  <si>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</si>
  <si>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</si>
  <si>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</si>
  <si>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</si>
  <si>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</si>
  <si>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</si>
  <si>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</si>
  <si>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</si>
  <si>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</si>
  <si>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</si>
  <si>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</si>
  <si>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</si>
  <si>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</si>
  <si>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</si>
  <si>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</si>
  <si>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</si>
  <si>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</si>
  <si>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</si>
  <si>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</si>
  <si>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</si>
  <si>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</si>
  <si>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</si>
  <si>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</si>
  <si>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</si>
  <si>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</si>
  <si>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</si>
  <si>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</si>
  <si>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</si>
  <si>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</si>
  <si>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</si>
  <si>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</si>
  <si>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</si>
  <si>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</si>
  <si>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</si>
  <si>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</si>
  <si>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</si>
  <si>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</si>
  <si>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</si>
  <si>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</si>
  <si>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</si>
  <si>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</si>
  <si>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</si>
  <si>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</si>
  <si>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</si>
  <si>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</si>
  <si>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</si>
  <si>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</si>
  <si>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</si>
  <si>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</si>
  <si>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</si>
  <si>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</si>
  <si>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</si>
  <si>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</si>
  <si>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</si>
  <si>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</si>
  <si>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</si>
  <si>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</si>
  <si>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</si>
  <si>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</si>
  <si>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</si>
  <si>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</si>
  <si>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</si>
  <si>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</si>
  <si>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</si>
  <si>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</si>
  <si>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</si>
  <si>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</si>
  <si>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</si>
  <si>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</si>
  <si>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</si>
  <si>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</si>
  <si>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</si>
  <si>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</si>
  <si>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</si>
  <si>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</si>
  <si>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</si>
  <si>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</si>
  <si>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</si>
  <si>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</si>
  <si>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</si>
  <si>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</si>
  <si>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</si>
  <si>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</si>
  <si>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</si>
  <si>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</si>
  <si>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</si>
  <si>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</si>
  <si>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</si>
  <si>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</si>
  <si>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</si>
  <si>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</si>
  <si>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</si>
  <si>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</si>
  <si>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</si>
  <si>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</si>
  <si>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</si>
  <si>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</si>
  <si>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</si>
  <si>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</si>
  <si>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</si>
  <si>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</si>
  <si>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</si>
  <si>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</si>
  <si>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</si>
  <si>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</si>
  <si>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</si>
  <si>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</si>
  <si>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</si>
  <si>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</si>
  <si>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</si>
  <si>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</si>
  <si>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</si>
  <si>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</si>
  <si>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</si>
  <si>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</si>
  <si>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</si>
  <si>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</si>
  <si>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</si>
  <si>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</si>
  <si>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</si>
  <si>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</si>
  <si>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</si>
  <si>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</si>
  <si>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</si>
  <si>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</si>
  <si>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</si>
  <si>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</si>
  <si>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</si>
  <si>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</si>
  <si>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</si>
  <si>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</si>
  <si>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</si>
  <si>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</si>
  <si>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</si>
  <si>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</si>
  <si>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</si>
  <si>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</si>
  <si>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</si>
  <si>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</si>
  <si>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</si>
  <si>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</si>
  <si>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</si>
  <si>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</si>
  <si>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</si>
  <si>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</si>
  <si>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</si>
  <si>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</si>
  <si>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</si>
  <si>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</si>
  <si>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</si>
  <si>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</si>
  <si>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</si>
  <si>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</si>
  <si>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</si>
  <si>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</si>
  <si>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</si>
  <si>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</si>
  <si>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</si>
  <si>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</si>
  <si>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</si>
  <si>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</si>
  <si>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</si>
  <si>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</si>
  <si>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</si>
  <si>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</si>
  <si>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</si>
  <si>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</si>
  <si>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</si>
  <si>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</si>
  <si>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</si>
  <si>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</si>
  <si>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</si>
  <si>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</si>
  <si>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</si>
  <si>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</si>
  <si>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</si>
  <si>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</si>
  <si>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</si>
  <si>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</si>
  <si>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</si>
  <si>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</si>
  <si>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</si>
  <si>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</si>
  <si>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</si>
  <si>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</si>
  <si>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</si>
  <si>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</si>
  <si>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</si>
  <si>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</si>
  <si>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</si>
  <si>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</si>
  <si>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</si>
  <si>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</si>
  <si>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</si>
  <si>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</si>
  <si>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</si>
  <si>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</si>
  <si>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</si>
  <si>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</si>
  <si>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</si>
  <si>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</si>
  <si>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</si>
  <si>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</si>
  <si>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</si>
  <si>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</si>
  <si>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</si>
  <si>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</si>
  <si>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</si>
  <si>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</si>
  <si>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</si>
  <si>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</si>
  <si>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</si>
  <si>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</si>
  <si>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</si>
  <si>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</si>
  <si>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</si>
  <si>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</si>
  <si>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</si>
  <si>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</si>
  <si>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</si>
  <si>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</si>
  <si>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</si>
  <si>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</si>
  <si>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</si>
  <si>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</si>
  <si>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</si>
  <si>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</si>
  <si>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</si>
  <si>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</si>
  <si>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</si>
  <si>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</si>
  <si>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</si>
  <si>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</si>
  <si>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</si>
  <si>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</si>
  <si>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</si>
  <si>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</si>
  <si>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</si>
  <si>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</si>
  <si>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</si>
  <si>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</si>
  <si>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</si>
  <si>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</si>
  <si>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</si>
  <si>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</si>
  <si>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</si>
  <si>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</si>
  <si>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</si>
  <si>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</si>
  <si>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</si>
  <si>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</si>
  <si>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</si>
  <si>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</si>
  <si>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</si>
  <si>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</si>
  <si>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</si>
  <si>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</si>
  <si>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</si>
  <si>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</si>
  <si>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</si>
  <si>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</si>
  <si>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</si>
  <si>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</si>
  <si>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</si>
  <si>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</si>
  <si>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</si>
  <si>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</si>
  <si>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</si>
  <si>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</si>
  <si>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</si>
  <si>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</si>
  <si>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</si>
  <si>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</si>
  <si>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</si>
  <si>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</si>
  <si>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</si>
  <si>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</si>
  <si>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</si>
  <si>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</si>
  <si>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</si>
  <si>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</si>
  <si>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</si>
  <si>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</si>
  <si>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</si>
  <si>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</si>
  <si>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</si>
  <si>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</si>
  <si>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</si>
  <si>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</si>
  <si>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</si>
  <si>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</si>
  <si>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</si>
  <si>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</si>
  <si>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</si>
  <si>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</si>
  <si>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</si>
  <si>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</si>
  <si>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</si>
  <si>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</si>
  <si>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</si>
  <si>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</si>
  <si>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</si>
  <si>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</si>
  <si>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</si>
  <si>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</si>
  <si>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</si>
  <si>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</si>
  <si>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</si>
  <si>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</si>
  <si>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</si>
  <si>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</si>
  <si>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</si>
  <si>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</si>
  <si>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</si>
  <si>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</si>
  <si>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</si>
  <si>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</si>
  <si>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</si>
  <si>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</si>
  <si>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</si>
  <si>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</si>
  <si>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</si>
  <si>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</si>
  <si>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</si>
  <si>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</si>
  <si>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</si>
  <si>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</si>
  <si>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</si>
  <si>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</si>
  <si>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</si>
  <si>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</si>
  <si>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</si>
  <si>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</si>
  <si>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</si>
  <si>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</si>
  <si>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</si>
  <si>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</si>
  <si>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</si>
  <si>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</si>
  <si>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</si>
  <si>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</si>
  <si>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</si>
  <si>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</si>
  <si>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</si>
  <si>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</si>
  <si>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</si>
  <si>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</si>
  <si>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</si>
  <si>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</si>
  <si>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</si>
  <si>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</si>
  <si>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</si>
  <si>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</si>
  <si>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</si>
  <si>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</si>
  <si>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</si>
  <si>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</si>
  <si>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</si>
  <si>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</si>
  <si>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</si>
  <si>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</si>
  <si>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</si>
  <si>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</si>
  <si>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</si>
  <si>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</si>
  <si>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</si>
  <si>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</si>
  <si>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</si>
  <si>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</si>
  <si>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</si>
  <si>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</si>
  <si>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</si>
  <si>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</si>
  <si>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</si>
  <si>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</si>
  <si>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</si>
  <si>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</si>
  <si>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</si>
  <si>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</si>
  <si>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</si>
  <si>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</si>
  <si>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</si>
  <si>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</si>
  <si>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</si>
  <si>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</si>
  <si>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</si>
  <si>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</si>
  <si>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</si>
  <si>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</si>
  <si>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</si>
  <si>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</si>
  <si>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</si>
  <si>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</si>
  <si>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</si>
  <si>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</si>
  <si>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</si>
  <si>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</si>
  <si>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</si>
  <si>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</si>
  <si>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</si>
  <si>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</si>
  <si>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</si>
  <si>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</si>
  <si>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</si>
  <si>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</si>
  <si>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</si>
  <si>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</si>
  <si>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</si>
  <si>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</si>
  <si>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</si>
  <si>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</si>
  <si>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</si>
  <si>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</si>
  <si>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</si>
  <si>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</si>
  <si>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</si>
  <si>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</si>
  <si>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</si>
  <si>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</si>
  <si>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</si>
  <si>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</si>
  <si>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</si>
  <si>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</si>
  <si>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</si>
  <si>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</si>
  <si>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</si>
  <si>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</si>
  <si>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</si>
  <si>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</si>
  <si>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</si>
  <si>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</si>
  <si>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</si>
  <si>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</si>
  <si>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</si>
  <si>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</si>
  <si>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</si>
  <si>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</si>
  <si>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</si>
  <si>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</si>
  <si>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</si>
  <si>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</si>
  <si>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</si>
  <si>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</si>
  <si>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</si>
  <si>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</si>
  <si>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</si>
  <si>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</si>
  <si>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</si>
  <si>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</si>
  <si>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</si>
  <si>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</si>
  <si>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</si>
  <si>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</si>
  <si>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</si>
  <si>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</si>
  <si>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</si>
  <si>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</si>
  <si>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</si>
  <si>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</si>
  <si>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</si>
  <si>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</si>
  <si>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</si>
  <si>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</si>
  <si>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</si>
  <si>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</si>
  <si>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</si>
  <si>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</si>
  <si>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</si>
  <si>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</si>
  <si>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</si>
  <si>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</si>
  <si>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</si>
  <si>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</si>
  <si>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</si>
  <si>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</si>
  <si>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</si>
  <si>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</si>
  <si>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</si>
  <si>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</si>
  <si>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</si>
  <si>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</si>
  <si>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</si>
  <si>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</si>
  <si>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</si>
  <si>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</si>
  <si>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</si>
  <si>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</si>
  <si>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</si>
  <si>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</si>
  <si>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</si>
  <si>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</si>
  <si>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</si>
  <si>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</si>
  <si>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</si>
  <si>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</si>
  <si>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</si>
  <si>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</si>
  <si>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</si>
  <si>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</si>
  <si>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</si>
  <si>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</si>
  <si>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</si>
  <si>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</si>
  <si>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</si>
  <si>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</si>
  <si>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</si>
  <si>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</si>
  <si>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</si>
  <si>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</si>
  <si>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</si>
  <si>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</si>
  <si>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</si>
  <si>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</si>
  <si>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</si>
  <si>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</si>
  <si>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</si>
  <si>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</si>
  <si>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</si>
  <si>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</si>
  <si>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</si>
  <si>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</si>
  <si>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</si>
  <si>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</si>
  <si>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</si>
  <si>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</si>
  <si>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</si>
  <si>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</si>
  <si>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</si>
  <si>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</si>
  <si>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</si>
  <si>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</si>
  <si>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</si>
  <si>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</si>
  <si>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</si>
  <si>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</si>
  <si>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</si>
  <si>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</si>
  <si>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</si>
  <si>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</si>
  <si>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</si>
  <si>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</si>
  <si>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</si>
  <si>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</si>
  <si>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</si>
  <si>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</si>
  <si>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</si>
  <si>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</si>
  <si>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</si>
  <si>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</si>
  <si>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</si>
  <si>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</si>
  <si>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</si>
  <si>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</si>
  <si>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</si>
  <si>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</si>
  <si>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</si>
  <si>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</si>
  <si>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</si>
  <si>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</si>
  <si>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</si>
  <si>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</si>
  <si>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</si>
  <si>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</si>
  <si>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</si>
  <si>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</si>
  <si>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</si>
  <si>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</si>
  <si>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</si>
  <si>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</si>
  <si>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</si>
  <si>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</si>
  <si>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</si>
  <si>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</si>
  <si>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</si>
  <si>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</si>
  <si>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</si>
  <si>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</si>
  <si>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</si>
  <si>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</si>
  <si>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</si>
  <si>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</si>
  <si>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</si>
  <si>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</si>
  <si>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</si>
  <si>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</si>
  <si>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</si>
  <si>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</si>
  <si>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</si>
  <si>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</si>
  <si>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</si>
  <si>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</si>
  <si>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</si>
  <si>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</si>
  <si>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</si>
  <si>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</si>
  <si>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</si>
  <si>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</si>
  <si>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</si>
  <si>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</si>
  <si>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</si>
  <si>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</si>
  <si>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</si>
  <si>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</si>
  <si>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</si>
  <si>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</si>
  <si>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</si>
  <si>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</si>
  <si>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</si>
  <si>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</si>
  <si>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</si>
  <si>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</si>
  <si>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</si>
  <si>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</si>
  <si>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</si>
  <si>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</si>
  <si>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</si>
  <si>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</si>
  <si>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</si>
  <si>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</si>
  <si>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</si>
  <si>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</si>
  <si>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</si>
  <si>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</si>
  <si>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</si>
  <si>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</si>
  <si>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</si>
  <si>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</si>
  <si>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</si>
  <si>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</si>
  <si>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</si>
  <si>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</si>
  <si>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</si>
  <si>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</si>
  <si>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</si>
  <si>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</si>
  <si>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</si>
  <si>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</si>
  <si>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</si>
  <si>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</si>
  <si>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</si>
  <si>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</si>
  <si>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</si>
  <si>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</si>
  <si>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</si>
  <si>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</si>
  <si>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</si>
  <si>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</si>
  <si>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</si>
  <si>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</si>
  <si>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</si>
  <si>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</si>
  <si>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</si>
  <si>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</si>
  <si>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</si>
  <si>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</si>
  <si>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</si>
  <si>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</si>
  <si>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</si>
  <si>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</si>
  <si>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</si>
  <si>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</si>
  <si>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</si>
  <si>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</si>
  <si>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</si>
  <si>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</si>
  <si>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</si>
  <si>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</si>
  <si>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</si>
  <si>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</si>
  <si>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</si>
  <si>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</si>
  <si>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</si>
  <si>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</si>
  <si>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</si>
  <si>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</si>
  <si>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</si>
  <si>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</si>
  <si>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</si>
  <si>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</si>
  <si>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</si>
  <si>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</si>
  <si>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</si>
  <si>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</si>
  <si>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</si>
  <si>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</si>
  <si>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</si>
  <si>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</si>
  <si>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</si>
  <si>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</si>
  <si>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</si>
  <si>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</si>
  <si>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</si>
  <si>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</si>
  <si>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</si>
  <si>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</si>
  <si>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</si>
  <si>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</si>
  <si>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</si>
  <si>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</si>
  <si>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</si>
  <si>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</si>
  <si>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</si>
  <si>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</si>
  <si>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</si>
  <si>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</si>
  <si>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</si>
  <si>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</si>
  <si>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</si>
  <si>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</si>
  <si>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</si>
  <si>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</si>
  <si>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</si>
  <si>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</si>
  <si>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</si>
  <si>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</si>
  <si>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</si>
  <si>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</si>
  <si>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</si>
  <si>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</si>
  <si>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</si>
  <si>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</si>
  <si>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</si>
  <si>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</si>
  <si>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</si>
  <si>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</si>
  <si>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</si>
  <si>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</si>
  <si>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</si>
  <si>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</si>
  <si>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</si>
  <si>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</si>
  <si>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</si>
  <si>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</si>
  <si>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</si>
  <si>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</si>
  <si>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</si>
  <si>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</si>
  <si>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</si>
  <si>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</si>
  <si>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</si>
  <si>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</si>
  <si>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</si>
  <si>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</si>
  <si>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</si>
  <si>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</si>
  <si>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</si>
  <si>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</si>
  <si>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</si>
  <si>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</si>
  <si>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</si>
  <si>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</si>
  <si>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</si>
  <si>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</si>
  <si>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</si>
  <si>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</si>
  <si>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</si>
  <si>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</si>
  <si>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</si>
  <si>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</si>
  <si>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</si>
  <si>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</si>
  <si>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</si>
  <si>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</si>
  <si>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</si>
  <si>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</si>
  <si>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</si>
  <si>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</si>
  <si>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</si>
  <si>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</si>
  <si>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</si>
  <si>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</si>
  <si>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</si>
  <si>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</si>
  <si>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</si>
  <si>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</si>
  <si>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</si>
  <si>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</si>
  <si>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</si>
  <si>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</si>
  <si>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</si>
  <si>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</si>
  <si>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</si>
  <si>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</si>
  <si>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</si>
  <si>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</si>
  <si>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</si>
  <si>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</si>
  <si>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</si>
  <si>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</si>
  <si>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</si>
  <si>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</si>
  <si>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</si>
  <si>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</si>
  <si>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</si>
  <si>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</si>
  <si>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</si>
  <si>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</si>
  <si>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</si>
  <si>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</si>
  <si>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</si>
  <si>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</si>
  <si>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</si>
  <si>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</si>
  <si>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</si>
  <si>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</si>
  <si>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</si>
  <si>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</si>
  <si>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</si>
  <si>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</si>
  <si>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</si>
  <si>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</si>
  <si>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</si>
  <si>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</si>
  <si>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</si>
  <si>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</si>
  <si>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</si>
  <si>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</si>
  <si>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</si>
  <si>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</si>
  <si>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</si>
  <si>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</si>
  <si>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</si>
  <si>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</si>
  <si>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</si>
  <si>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</si>
  <si>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</si>
  <si>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</si>
  <si>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</si>
  <si>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</si>
  <si>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</si>
  <si>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</si>
  <si>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</si>
  <si>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</si>
  <si>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</si>
  <si>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</si>
  <si>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</si>
  <si>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</si>
  <si>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</si>
  <si>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</si>
  <si>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</si>
  <si>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</si>
  <si>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</si>
  <si>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</si>
  <si>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</si>
  <si>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</si>
  <si>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</si>
  <si>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</si>
  <si>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</si>
  <si>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</si>
  <si>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</si>
  <si>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</si>
  <si>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</si>
  <si>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</si>
  <si>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</si>
  <si>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</si>
  <si>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</si>
  <si>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</si>
  <si>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</si>
  <si>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</si>
  <si>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</si>
  <si>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</si>
  <si>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</si>
  <si>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</si>
  <si>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</si>
  <si>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</si>
  <si>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</si>
  <si>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</si>
  <si>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</si>
  <si>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</si>
  <si>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</si>
  <si>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</si>
  <si>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</si>
  <si>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</si>
  <si>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</si>
  <si>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</si>
  <si>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</si>
  <si>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</si>
  <si>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</si>
  <si>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</si>
  <si>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</si>
  <si>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</si>
  <si>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</si>
  <si>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</si>
  <si>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</si>
  <si>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</si>
  <si>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</si>
  <si>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</si>
  <si>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</si>
  <si>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</si>
  <si>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</si>
  <si>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</si>
  <si>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</si>
  <si>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</si>
  <si>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</si>
  <si>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</si>
  <si>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</si>
  <si>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</si>
  <si>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</si>
  <si>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</si>
  <si>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</si>
  <si>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</si>
  <si>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</si>
  <si>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</si>
  <si>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</si>
  <si>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</si>
  <si>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</si>
  <si>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</si>
  <si>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</si>
  <si>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</si>
  <si>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</si>
  <si>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</si>
  <si>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</si>
  <si>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</si>
  <si>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</si>
  <si>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</si>
  <si>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</si>
  <si>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</si>
  <si>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</si>
  <si>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</si>
  <si>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</si>
  <si>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</si>
  <si>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</si>
  <si>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</si>
  <si>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</si>
  <si>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</si>
  <si>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</si>
  <si>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</si>
  <si>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</si>
  <si>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</si>
  <si>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</si>
  <si>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</si>
  <si>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</si>
  <si>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</si>
  <si>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</si>
  <si>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</si>
  <si>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</si>
  <si>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</si>
  <si>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</si>
  <si>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</si>
  <si>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</si>
  <si>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</si>
  <si>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</si>
  <si>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</si>
  <si>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</si>
  <si>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</si>
  <si>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</si>
  <si>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</si>
  <si>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</si>
  <si>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</si>
  <si>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</si>
  <si>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</si>
  <si>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</si>
  <si>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</si>
  <si>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</si>
  <si>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</si>
  <si>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</si>
  <si>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</si>
  <si>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</si>
  <si>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</si>
  <si>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</si>
  <si>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</si>
  <si>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</si>
  <si>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</si>
  <si>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</si>
  <si>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</si>
  <si>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</si>
  <si>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</si>
  <si>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</si>
  <si>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</si>
  <si>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</si>
  <si>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</si>
  <si>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</si>
  <si>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</si>
  <si>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</si>
  <si>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</si>
  <si>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</si>
  <si>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</si>
  <si>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</si>
  <si>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</si>
  <si>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</si>
  <si>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</si>
  <si>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</si>
  <si>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</si>
  <si>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</si>
  <si>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</si>
  <si>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</si>
  <si>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</si>
  <si>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</si>
  <si>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</si>
  <si>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</si>
  <si>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</si>
  <si>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</si>
  <si>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</si>
  <si>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</si>
  <si>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</si>
  <si>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</si>
  <si>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</si>
  <si>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</si>
  <si>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</si>
  <si>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</si>
  <si>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</si>
  <si>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</si>
  <si>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</si>
  <si>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</si>
  <si>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</si>
  <si>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</si>
  <si>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</si>
  <si>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</si>
  <si>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</si>
  <si>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</si>
  <si>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</si>
  <si>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</si>
  <si>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</si>
  <si>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</si>
  <si>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</si>
  <si>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</si>
  <si>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</si>
  <si>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</si>
  <si>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</si>
  <si>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</si>
  <si>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</si>
  <si>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</si>
  <si>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</si>
  <si>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</si>
  <si>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</si>
  <si>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</si>
  <si>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</si>
  <si>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</si>
  <si>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</si>
  <si>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</si>
  <si>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</si>
  <si>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</si>
  <si>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</si>
  <si>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</si>
  <si>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</si>
  <si>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</si>
  <si>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</si>
  <si>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</si>
  <si>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</si>
  <si>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</si>
  <si>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</si>
  <si>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</si>
  <si>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</si>
  <si>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</si>
  <si>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</si>
  <si>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</si>
  <si>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</si>
  <si>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</si>
  <si>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</si>
  <si>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</si>
  <si>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</si>
  <si>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</si>
  <si>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</si>
  <si>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</si>
  <si>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</si>
  <si>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</si>
  <si>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</si>
  <si>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</si>
  <si>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</si>
  <si>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</si>
  <si>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</si>
  <si>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</si>
  <si>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</si>
  <si>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</si>
  <si>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</si>
  <si>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</si>
  <si>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</si>
  <si>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</si>
  <si>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</si>
  <si>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</si>
  <si>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</si>
  <si>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</si>
  <si>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</si>
  <si>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</si>
  <si>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</si>
  <si>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</si>
  <si>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</si>
  <si>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</si>
  <si>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</si>
  <si>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</si>
  <si>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</si>
  <si>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</si>
  <si>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</si>
  <si>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</si>
  <si>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</si>
  <si>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</si>
  <si>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</si>
  <si>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</si>
  <si>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</si>
  <si>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</si>
  <si>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</si>
  <si>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</si>
  <si>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</si>
  <si>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</si>
  <si>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</si>
  <si>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</si>
  <si>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</si>
  <si>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</si>
  <si>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</si>
  <si>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</si>
  <si>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</si>
  <si>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</si>
  <si>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</si>
  <si>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</si>
  <si>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</si>
  <si>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</si>
  <si>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</si>
  <si>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</si>
  <si>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</si>
  <si>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</si>
  <si>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</si>
  <si>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</si>
  <si>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</si>
  <si>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</si>
  <si>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</si>
  <si>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</si>
  <si>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</si>
  <si>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</si>
  <si>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</si>
  <si>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</si>
  <si>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</si>
  <si>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</si>
  <si>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</si>
  <si>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</si>
  <si>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</si>
  <si>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</si>
  <si>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</si>
  <si>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</si>
  <si>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</si>
  <si>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</si>
  <si>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</si>
  <si>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</si>
  <si>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</si>
  <si>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</si>
  <si>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</si>
  <si>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</si>
  <si>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</si>
  <si>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</si>
  <si>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</si>
  <si>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</si>
  <si>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</si>
  <si>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</si>
  <si>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</si>
  <si>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</si>
  <si>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</si>
  <si>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</si>
  <si>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</si>
  <si>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</si>
  <si>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</si>
  <si>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</si>
  <si>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</si>
  <si>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</si>
  <si>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</si>
  <si>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</si>
  <si>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</si>
  <si>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</si>
  <si>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</si>
  <si>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</si>
  <si>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</si>
  <si>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</si>
  <si>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</si>
  <si>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</si>
  <si>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</si>
  <si>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</si>
  <si>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</si>
  <si>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</si>
  <si>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</si>
  <si>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</si>
  <si>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</si>
  <si>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</si>
  <si>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</si>
  <si>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</si>
  <si>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</si>
  <si>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</si>
  <si>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</si>
  <si>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</si>
  <si>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</si>
  <si>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</si>
  <si>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</si>
  <si>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</si>
  <si>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</si>
  <si>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</si>
  <si>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</si>
  <si>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</si>
  <si>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</si>
  <si>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</si>
  <si>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</si>
  <si>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</si>
  <si>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</si>
  <si>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</si>
  <si>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</si>
  <si>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</si>
  <si>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</si>
  <si>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</si>
  <si>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</si>
  <si>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</si>
  <si>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</si>
  <si>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</si>
  <si>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</si>
  <si>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</si>
  <si>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</si>
  <si>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</si>
  <si>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</si>
  <si>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</si>
  <si>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</si>
  <si>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</si>
  <si>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</si>
  <si>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</si>
  <si>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</si>
  <si>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</si>
  <si>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</si>
  <si>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</si>
  <si>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</si>
  <si>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</si>
  <si>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</si>
  <si>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</si>
  <si>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</si>
  <si>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</si>
  <si>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</si>
  <si>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</si>
  <si>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</si>
  <si>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</si>
  <si>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</si>
  <si>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</si>
  <si>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</si>
  <si>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</si>
  <si>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</si>
  <si>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</si>
  <si>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</si>
  <si>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</si>
  <si>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</si>
  <si>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</si>
  <si>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</si>
  <si>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</si>
  <si>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</si>
  <si>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</si>
  <si>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</si>
  <si>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</si>
  <si>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</si>
  <si>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</si>
  <si>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</si>
  <si>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</si>
  <si>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</si>
  <si>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</si>
  <si>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</si>
  <si>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</si>
  <si>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</si>
  <si>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</si>
  <si>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</si>
  <si>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</si>
  <si>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</si>
  <si>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</si>
  <si>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</si>
  <si>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</si>
  <si>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</si>
  <si>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</si>
  <si>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</si>
  <si>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</si>
  <si>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</si>
  <si>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</si>
  <si>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</si>
  <si>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</si>
  <si>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</si>
  <si>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</si>
  <si>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</si>
  <si>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</si>
  <si>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</si>
  <si>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</si>
  <si>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</si>
  <si>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</si>
  <si>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</si>
  <si>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</si>
  <si>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</si>
  <si>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</si>
  <si>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</si>
  <si>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</si>
  <si>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</si>
  <si>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</si>
  <si>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</si>
  <si>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</si>
  <si>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</si>
  <si>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</si>
  <si>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</si>
  <si>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</si>
  <si>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</si>
  <si>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</si>
  <si>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</si>
  <si>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</si>
  <si>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</si>
  <si>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</si>
  <si>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</si>
  <si>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</si>
  <si>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</si>
  <si>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</si>
  <si>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</si>
  <si>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</si>
  <si>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</si>
  <si>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</si>
  <si>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</si>
  <si>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</si>
  <si>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</si>
  <si>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</si>
  <si>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</si>
  <si>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</si>
  <si>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</si>
  <si>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</si>
  <si>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</si>
  <si>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</si>
  <si>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</si>
  <si>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</si>
  <si>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</si>
  <si>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</si>
  <si>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</si>
  <si>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</si>
  <si>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</si>
  <si>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</si>
  <si>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</si>
  <si>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</si>
  <si>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</si>
  <si>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</si>
  <si>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</si>
  <si>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</si>
  <si>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</si>
  <si>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</si>
  <si>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</si>
  <si>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</si>
  <si>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</si>
  <si>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</si>
  <si>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</si>
  <si>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</si>
  <si>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</si>
  <si>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</si>
  <si>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</si>
  <si>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</si>
  <si>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</si>
  <si>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</si>
  <si>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</si>
  <si>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</si>
  <si>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</si>
  <si>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</si>
  <si>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</si>
  <si>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</si>
  <si>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</si>
  <si>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</si>
  <si>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</si>
  <si>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</si>
  <si>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</si>
  <si>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</si>
  <si>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</si>
  <si>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</si>
  <si>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</si>
  <si>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</si>
  <si>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</si>
  <si>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</si>
  <si>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</si>
  <si>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</si>
  <si>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</si>
  <si>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</si>
  <si>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</si>
  <si>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</si>
  <si>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</si>
  <si>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</si>
  <si>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</si>
  <si>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</si>
  <si>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Initial conditions (ID only)</t>
  </si>
  <si>
    <t>Irrigation (ID only)</t>
  </si>
  <si>
    <t>Fertilizers (ID only)</t>
  </si>
  <si>
    <t>Harvests (ID only)</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</si>
  <si>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</si>
  <si>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</si>
  <si>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</si>
  <si>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</si>
  <si>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</si>
  <si>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</si>
  <si>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</si>
  <si>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</si>
  <si>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</si>
  <si>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</si>
  <si>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</si>
  <si>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</si>
  <si>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</si>
  <si>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</si>
  <si>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</si>
  <si>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</si>
  <si>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</si>
  <si>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</si>
  <si>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</si>
  <si>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</si>
  <si>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</si>
  <si>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</si>
  <si>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</si>
  <si>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</si>
  <si>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</si>
  <si>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</si>
  <si>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</si>
  <si>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</si>
  <si>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</si>
  <si>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</si>
  <si>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</si>
  <si>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</si>
  <si>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</si>
  <si>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</si>
  <si>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</si>
  <si>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</si>
  <si>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</si>
  <si>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</si>
  <si>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</si>
  <si>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</si>
  <si>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</si>
  <si>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</si>
  <si>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</si>
  <si>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</si>
  <si>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</si>
  <si>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</si>
  <si>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</si>
  <si>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</si>
  <si>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</si>
  <si>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</si>
  <si>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</si>
  <si>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</si>
  <si>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</si>
  <si>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</si>
  <si>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</si>
  <si>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</si>
  <si>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</si>
  <si>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</si>
  <si>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</si>
  <si>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</si>
  <si>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</si>
  <si>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</si>
  <si>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</si>
  <si>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</si>
  <si>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</si>
  <si>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</si>
  <si>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</si>
  <si>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</si>
  <si>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</si>
  <si>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</si>
  <si>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</si>
  <si>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</si>
  <si>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</si>
  <si>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</si>
  <si>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</si>
  <si>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</si>
  <si>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</si>
  <si>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</si>
  <si>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</si>
  <si>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</si>
  <si>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</si>
  <si>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</si>
  <si>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</si>
  <si>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</si>
  <si>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</si>
  <si>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</si>
  <si>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</si>
  <si>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</si>
  <si>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</si>
  <si>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</si>
  <si>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</si>
  <si>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</si>
  <si>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</si>
  <si>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</si>
  <si>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</si>
  <si>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</si>
  <si>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</si>
  <si>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</si>
  <si>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</si>
  <si>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</si>
  <si>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</si>
  <si>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</si>
  <si>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</si>
  <si>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</si>
  <si>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</si>
  <si>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</si>
  <si>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</si>
  <si>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</si>
  <si>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</si>
  <si>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</si>
  <si>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</si>
  <si>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</si>
  <si>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</si>
  <si>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</si>
  <si>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</si>
  <si>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</si>
  <si>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</si>
  <si>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</si>
  <si>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</si>
  <si>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</si>
  <si>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</si>
  <si>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</si>
  <si>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</si>
  <si>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</si>
  <si>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</si>
  <si>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</si>
  <si>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</si>
  <si>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</si>
  <si>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</si>
  <si>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</si>
  <si>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</si>
  <si>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</si>
  <si>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</si>
  <si>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</si>
  <si>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</si>
  <si>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</si>
  <si>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</si>
  <si>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</si>
  <si>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</si>
  <si>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</si>
  <si>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</si>
  <si>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</si>
  <si>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</si>
  <si>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</si>
  <si>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</si>
  <si>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</si>
  <si>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</si>
  <si>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</si>
  <si>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</si>
  <si>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</si>
  <si>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</si>
  <si>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</si>
  <si>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</si>
  <si>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</si>
  <si>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</si>
  <si>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</si>
  <si>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</si>
  <si>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</si>
  <si>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</si>
  <si>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</si>
  <si>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</si>
  <si>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</si>
  <si>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</si>
  <si>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</si>
  <si>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</si>
  <si>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</si>
  <si>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</si>
  <si>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</si>
  <si>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</si>
  <si>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</si>
  <si>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</si>
  <si>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</si>
  <si>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</si>
  <si>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</si>
  <si>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</si>
  <si>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</si>
  <si>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</si>
  <si>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</si>
  <si>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</si>
  <si>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</si>
  <si>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</si>
  <si>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</si>
  <si>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</si>
  <si>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</si>
  <si>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</si>
  <si>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</si>
  <si>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</si>
  <si>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</si>
  <si>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</si>
  <si>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</si>
  <si>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</si>
  <si>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</si>
  <si>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</si>
  <si>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</si>
  <si>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</si>
  <si>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</si>
  <si>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</si>
  <si>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</si>
  <si>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</si>
  <si>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</si>
  <si>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</si>
  <si>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</si>
  <si>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</si>
  <si>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</si>
  <si>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</si>
  <si>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</si>
  <si>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</si>
  <si>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</si>
  <si>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</si>
  <si>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</si>
  <si>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</si>
  <si>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</si>
  <si>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</si>
  <si>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</si>
  <si>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</si>
  <si>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</si>
  <si>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</si>
  <si>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</si>
  <si>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</si>
  <si>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</si>
  <si>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</si>
  <si>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</si>
  <si>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</si>
  <si>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</si>
  <si>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</si>
  <si>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</si>
  <si>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</si>
  <si>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</si>
  <si>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</si>
  <si>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</si>
  <si>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</si>
  <si>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</si>
  <si>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</si>
  <si>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</si>
  <si>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</si>
  <si>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</si>
  <si>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</si>
  <si>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</si>
  <si>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</si>
  <si>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</si>
  <si>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</si>
  <si>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</si>
  <si>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</si>
  <si>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</si>
  <si>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</si>
  <si>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</si>
  <si>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</si>
  <si>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</si>
  <si>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</si>
  <si>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</si>
  <si>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</si>
  <si>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</si>
  <si>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</si>
  <si>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</si>
  <si>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</si>
  <si>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</si>
  <si>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</si>
  <si>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</si>
  <si>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</si>
  <si>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</si>
  <si>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</si>
  <si>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</si>
  <si>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</si>
  <si>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</si>
  <si>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</si>
  <si>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</si>
  <si>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</si>
  <si>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</si>
  <si>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</si>
  <si>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</si>
  <si>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</si>
  <si>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</si>
  <si>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</si>
  <si>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</si>
  <si>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</si>
  <si>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</si>
  <si>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</si>
  <si>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</si>
  <si>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</si>
  <si>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</si>
  <si>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</si>
  <si>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</si>
  <si>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</si>
  <si>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</si>
  <si>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</si>
  <si>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</si>
  <si>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</si>
  <si>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</si>
  <si>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</si>
  <si>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</si>
  <si>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</si>
  <si>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</si>
  <si>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</si>
  <si>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</si>
  <si>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</si>
  <si>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</si>
  <si>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</si>
  <si>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</si>
  <si>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</si>
  <si>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</si>
  <si>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</si>
  <si>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</si>
  <si>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</si>
  <si>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</si>
  <si>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</si>
  <si>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</si>
  <si>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</si>
  <si>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</si>
  <si>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</si>
  <si>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</si>
  <si>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</si>
  <si>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</si>
  <si>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</si>
  <si>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</si>
  <si>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</si>
  <si>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</si>
  <si>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</si>
  <si>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</si>
  <si>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</si>
  <si>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</si>
  <si>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</si>
  <si>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</si>
  <si>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</si>
  <si>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</si>
  <si>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</si>
  <si>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</si>
  <si>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</si>
  <si>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</si>
  <si>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</si>
  <si>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</si>
  <si>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</si>
  <si>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</si>
  <si>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</si>
  <si>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</si>
  <si>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</si>
  <si>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</si>
  <si>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</si>
  <si>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</si>
  <si>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</si>
  <si>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</si>
  <si>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</si>
  <si>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</si>
  <si>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</si>
  <si>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</si>
  <si>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</si>
  <si>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</si>
  <si>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</si>
  <si>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</si>
  <si>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</si>
  <si>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</si>
  <si>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</si>
  <si>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</si>
  <si>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</si>
  <si>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</si>
  <si>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</si>
  <si>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</si>
  <si>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</si>
  <si>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</si>
  <si>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</si>
  <si>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</si>
  <si>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</si>
  <si>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</si>
  <si>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</si>
  <si>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</si>
  <si>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</si>
  <si>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</si>
  <si>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</si>
  <si>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</si>
  <si>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</si>
  <si>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</si>
  <si>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</si>
  <si>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</si>
  <si>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</si>
  <si>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</si>
  <si>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</si>
  <si>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</si>
  <si>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</si>
  <si>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</si>
  <si>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</si>
  <si>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</si>
  <si>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</si>
  <si>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(ID only)</t>
  </si>
  <si>
    <t>Organic materials (ID only)</t>
  </si>
  <si>
    <t>Chemicals (ID only)</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</si>
  <si>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</si>
  <si>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</si>
  <si>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</si>
  <si>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</si>
  <si>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</si>
  <si>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</si>
  <si>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</si>
  <si>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</si>
  <si>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</si>
  <si>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</si>
  <si>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</si>
  <si>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</si>
  <si>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</si>
  <si>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</si>
  <si>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</si>
  <si>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</si>
  <si>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</si>
  <si>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</si>
  <si>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</si>
  <si>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</si>
  <si>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</si>
  <si>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</si>
  <si>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</si>
  <si>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</si>
  <si>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</si>
  <si>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</si>
  <si>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</si>
  <si>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</si>
  <si>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</si>
  <si>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</si>
  <si>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</si>
  <si>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</si>
  <si>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</si>
  <si>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</si>
  <si>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</si>
  <si>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</si>
  <si>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</si>
  <si>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</si>
  <si>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</si>
  <si>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</si>
  <si>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</si>
  <si>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</si>
  <si>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</si>
  <si>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</si>
  <si>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</si>
  <si>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</si>
  <si>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</si>
  <si>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</si>
  <si>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</si>
  <si>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</si>
  <si>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</si>
  <si>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</si>
  <si>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</si>
  <si>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</si>
  <si>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</si>
  <si>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</si>
  <si>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</si>
  <si>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</si>
  <si>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</si>
  <si>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</si>
  <si>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</si>
  <si>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</si>
  <si>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</si>
  <si>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</si>
  <si>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</si>
  <si>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</si>
  <si>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</si>
  <si>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</si>
  <si>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</si>
  <si>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</si>
  <si>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</si>
  <si>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</si>
  <si>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</si>
  <si>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</si>
  <si>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SOIL_METADATA; SOIL_PROFILES; SOIL_PROFILE_LAYERS</t>
  </si>
  <si>
    <t>WEAT_METADATA; WEAT_DAILY</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</si>
  <si>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</si>
  <si>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</si>
  <si>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</si>
  <si>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</si>
  <si>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</si>
  <si>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</si>
  <si>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</si>
  <si>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</si>
  <si>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</si>
  <si>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</si>
  <si>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</si>
  <si>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</si>
  <si>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</si>
  <si>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</si>
  <si>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</si>
  <si>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</si>
  <si>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</si>
  <si>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</si>
  <si>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</si>
  <si>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</si>
  <si>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</si>
  <si>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</si>
  <si>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</si>
  <si>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</si>
  <si>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</si>
  <si>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</si>
  <si>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</si>
  <si>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</si>
  <si>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</si>
  <si>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</si>
  <si>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</si>
  <si>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</si>
  <si>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</si>
  <si>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</si>
  <si>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</si>
  <si>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</si>
  <si>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</si>
  <si>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</si>
  <si>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</si>
  <si>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</si>
  <si>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</si>
  <si>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</si>
  <si>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</si>
  <si>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</si>
  <si>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</si>
  <si>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</si>
  <si>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</si>
  <si>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</si>
  <si>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</si>
  <si>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</si>
  <si>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</si>
  <si>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</si>
  <si>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</si>
  <si>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</si>
  <si>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</si>
  <si>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</si>
  <si>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</si>
  <si>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</si>
  <si>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</si>
  <si>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</si>
  <si>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</si>
  <si>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</si>
  <si>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</si>
  <si>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</si>
  <si>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</si>
  <si>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</si>
  <si>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</si>
  <si>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</si>
  <si>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</si>
  <si>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</si>
  <si>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</si>
  <si>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</si>
  <si>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</si>
  <si>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</si>
  <si>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</si>
  <si>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</si>
  <si>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</si>
  <si>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</si>
  <si>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</si>
  <si>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</si>
  <si>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</si>
  <si>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</si>
  <si>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</si>
  <si>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</si>
  <si>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</si>
  <si>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</si>
  <si>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</si>
  <si>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</si>
  <si>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</si>
  <si>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</si>
  <si>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</si>
  <si>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</si>
  <si>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</si>
  <si>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</si>
  <si>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</si>
  <si>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</si>
  <si>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</si>
  <si>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</si>
  <si>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</si>
  <si>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</si>
  <si>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</si>
  <si>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</si>
  <si>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</si>
  <si>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</si>
  <si>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</si>
  <si>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</si>
  <si>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</si>
  <si>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</si>
  <si>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</si>
  <si>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</si>
  <si>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</si>
  <si>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</si>
  <si>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</si>
  <si>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</si>
  <si>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</si>
  <si>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</si>
  <si>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</si>
  <si>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</si>
  <si>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</si>
  <si>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</si>
  <si>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</si>
  <si>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</si>
  <si>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</si>
  <si>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</si>
  <si>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</si>
  <si>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</si>
  <si>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</si>
  <si>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</si>
  <si>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</si>
  <si>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</si>
  <si>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</si>
  <si>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</si>
  <si>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</si>
  <si>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</si>
  <si>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</si>
  <si>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</si>
  <si>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</si>
  <si>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</si>
  <si>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</si>
  <si>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</si>
  <si>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</si>
  <si>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</si>
  <si>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</si>
  <si>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</si>
  <si>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</si>
  <si>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</si>
  <si>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</si>
  <si>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</si>
  <si>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</si>
  <si>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</si>
  <si>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</si>
  <si>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</si>
  <si>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</si>
  <si>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</si>
  <si>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</si>
  <si>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</si>
  <si>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</si>
  <si>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</si>
  <si>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</si>
  <si>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</si>
  <si>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</si>
  <si>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</si>
  <si>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</si>
  <si>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</si>
  <si>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</si>
  <si>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</si>
  <si>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</si>
  <si>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</si>
  <si>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</si>
  <si>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</si>
  <si>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</si>
  <si>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</si>
  <si>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</si>
  <si>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</si>
  <si>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</si>
  <si>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</si>
  <si>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</si>
  <si>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</si>
  <si>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</si>
  <si>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</si>
  <si>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</si>
  <si>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</si>
  <si>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</si>
  <si>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</si>
  <si>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</si>
  <si>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</si>
  <si>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</si>
  <si>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</si>
  <si>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</si>
  <si>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</si>
  <si>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</si>
  <si>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</si>
  <si>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</si>
  <si>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</si>
  <si>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</si>
  <si>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</si>
  <si>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</si>
  <si>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</si>
  <si>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</si>
  <si>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</si>
  <si>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</si>
  <si>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</si>
  <si>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</si>
  <si>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</si>
  <si>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</si>
  <si>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</si>
  <si>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</si>
  <si>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</si>
  <si>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</si>
  <si>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</si>
  <si>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</si>
  <si>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</si>
  <si>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</si>
  <si>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</si>
  <si>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</si>
  <si>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</si>
  <si>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</si>
  <si>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</si>
  <si>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</si>
  <si>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</si>
  <si>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</si>
  <si>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</si>
  <si>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</si>
  <si>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</si>
  <si>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</si>
  <si>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</si>
  <si>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</si>
  <si>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</si>
  <si>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</si>
  <si>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</si>
  <si>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</si>
  <si>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</si>
  <si>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</si>
  <si>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</si>
  <si>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</si>
  <si>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</si>
  <si>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</si>
  <si>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</si>
  <si>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</si>
  <si>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</si>
  <si>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</si>
  <si>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</si>
  <si>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</si>
  <si>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</si>
  <si>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</si>
  <si>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</si>
  <si>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</si>
  <si>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</si>
  <si>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</si>
  <si>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</si>
  <si>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</si>
  <si>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</si>
  <si>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</si>
  <si>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</si>
  <si>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</si>
  <si>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</si>
  <si>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</si>
  <si>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</si>
  <si>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</si>
  <si>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</si>
  <si>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</si>
  <si>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</si>
  <si>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</si>
  <si>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</si>
  <si>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</si>
  <si>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</si>
  <si>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</si>
  <si>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</si>
  <si>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</si>
  <si>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</si>
  <si>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</si>
  <si>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</si>
  <si>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</si>
  <si>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</si>
  <si>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</si>
  <si>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</si>
  <si>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</si>
  <si>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</si>
  <si>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</si>
  <si>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</si>
  <si>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</si>
  <si>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</si>
  <si>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</si>
  <si>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</si>
  <si>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</si>
  <si>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</si>
  <si>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</si>
  <si>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</si>
  <si>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</si>
  <si>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</si>
  <si>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</si>
  <si>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</si>
  <si>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</si>
  <si>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</si>
  <si>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</si>
  <si>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</si>
  <si>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</si>
  <si>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</si>
  <si>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</si>
  <si>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</si>
  <si>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</si>
  <si>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</si>
  <si>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</si>
  <si>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</si>
  <si>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</si>
  <si>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</si>
  <si>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</si>
  <si>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</si>
  <si>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</si>
  <si>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</si>
  <si>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</si>
  <si>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</si>
  <si>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</si>
  <si>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</si>
  <si>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</si>
  <si>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</si>
  <si>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</si>
  <si>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</si>
  <si>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</si>
  <si>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</si>
  <si>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</si>
  <si>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</si>
  <si>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</si>
  <si>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</si>
  <si>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</si>
  <si>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</si>
  <si>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</si>
  <si>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</si>
  <si>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</si>
  <si>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</si>
  <si>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</si>
  <si>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</si>
  <si>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</si>
  <si>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</si>
  <si>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</si>
  <si>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</si>
  <si>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</si>
  <si>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</si>
  <si>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</si>
  <si>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</si>
  <si>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</si>
  <si>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</si>
  <si>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</si>
  <si>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</si>
  <si>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</si>
  <si>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</si>
  <si>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</si>
  <si>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</si>
  <si>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</si>
  <si>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</si>
  <si>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</si>
  <si>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</si>
  <si>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</si>
  <si>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</si>
  <si>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</si>
  <si>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</si>
  <si>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</si>
  <si>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</si>
  <si>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</si>
  <si>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</si>
  <si>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</si>
  <si>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</si>
  <si>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</si>
  <si>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</si>
  <si>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</si>
  <si>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</si>
  <si>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</si>
  <si>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</si>
  <si>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</si>
  <si>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</si>
  <si>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</si>
  <si>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</si>
  <si>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</si>
  <si>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</si>
  <si>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</si>
  <si>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</si>
  <si>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</si>
  <si>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</si>
  <si>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</si>
  <si>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</si>
  <si>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</si>
  <si>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</si>
  <si>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</si>
  <si>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</si>
  <si>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</si>
  <si>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</si>
  <si>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</si>
  <si>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</si>
  <si>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</si>
  <si>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</si>
  <si>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</si>
  <si>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</si>
  <si>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</si>
  <si>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</si>
  <si>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</si>
  <si>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</si>
  <si>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</si>
  <si>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</si>
  <si>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</si>
  <si>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</si>
  <si>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</si>
  <si>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</si>
  <si>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</si>
  <si>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</si>
  <si>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</si>
  <si>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</si>
  <si>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</si>
  <si>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</si>
  <si>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</si>
  <si>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</si>
  <si>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</si>
  <si>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</si>
  <si>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</si>
  <si>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</si>
  <si>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</si>
  <si>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</si>
  <si>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</si>
  <si>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</si>
  <si>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</si>
  <si>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</si>
  <si>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</si>
  <si>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</si>
  <si>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</si>
  <si>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</si>
  <si>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</si>
  <si>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</si>
  <si>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</si>
  <si>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</si>
  <si>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</si>
  <si>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</si>
  <si>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</si>
  <si>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</si>
  <si>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</si>
  <si>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</si>
  <si>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</si>
  <si>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</si>
  <si>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</si>
  <si>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</si>
  <si>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</si>
  <si>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</si>
  <si>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</si>
  <si>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</si>
  <si>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</si>
  <si>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</si>
  <si>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</si>
  <si>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</si>
  <si>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</si>
  <si>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</si>
  <si>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</si>
  <si>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</si>
  <si>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</si>
  <si>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</si>
  <si>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</si>
  <si>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</si>
  <si>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</si>
  <si>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</si>
  <si>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</si>
  <si>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</si>
  <si>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</si>
  <si>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</si>
  <si>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</si>
  <si>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</si>
  <si>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</si>
  <si>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</si>
  <si>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</si>
  <si>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</si>
  <si>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</si>
  <si>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</si>
  <si>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</si>
  <si>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</si>
  <si>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</si>
  <si>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</si>
  <si>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</si>
  <si>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</si>
  <si>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</si>
  <si>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</si>
  <si>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</si>
  <si>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</si>
  <si>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</si>
  <si>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</si>
  <si>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</si>
  <si>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</si>
  <si>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</si>
  <si>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</si>
  <si>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</si>
  <si>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</si>
  <si>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</si>
  <si>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</si>
  <si>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</si>
  <si>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</si>
  <si>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</si>
  <si>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</si>
  <si>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</si>
  <si>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</si>
  <si>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</si>
  <si>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</si>
  <si>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</si>
  <si>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</si>
  <si>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</si>
  <si>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</si>
  <si>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</si>
  <si>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</si>
  <si>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</si>
  <si>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</si>
  <si>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</si>
  <si>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</si>
  <si>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</si>
  <si>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</si>
  <si>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</si>
  <si>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</si>
  <si>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</si>
  <si>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</si>
  <si>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</si>
  <si>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</si>
  <si>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</si>
  <si>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</si>
  <si>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</si>
  <si>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</si>
  <si>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</si>
  <si>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</si>
  <si>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</si>
  <si>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</si>
  <si>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</si>
  <si>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</si>
  <si>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</si>
  <si>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</si>
  <si>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</si>
  <si>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</si>
  <si>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</si>
  <si>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</si>
  <si>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</si>
  <si>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</si>
  <si>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</si>
  <si>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</si>
  <si>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</si>
  <si>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</si>
  <si>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</si>
  <si>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</si>
  <si>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</si>
  <si>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</si>
  <si>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</si>
  <si>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</si>
  <si>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</si>
  <si>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</si>
  <si>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</si>
  <si>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</si>
  <si>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</si>
  <si>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</si>
  <si>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</si>
  <si>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</si>
  <si>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</si>
  <si>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</si>
  <si>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</si>
  <si>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</si>
  <si>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</si>
  <si>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</si>
  <si>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</si>
  <si>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</si>
  <si>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</si>
  <si>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</si>
  <si>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</si>
  <si>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</si>
  <si>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</si>
  <si>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</si>
  <si>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</si>
  <si>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</si>
  <si>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</si>
  <si>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</si>
  <si>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</si>
  <si>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</si>
  <si>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</si>
  <si>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</si>
  <si>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</si>
  <si>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</si>
  <si>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</si>
  <si>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</si>
  <si>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</si>
  <si>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</si>
  <si>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</si>
  <si>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</si>
  <si>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</si>
  <si>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</si>
  <si>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</si>
  <si>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</si>
  <si>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</si>
  <si>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</si>
  <si>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</si>
  <si>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</si>
  <si>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</si>
  <si>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</si>
  <si>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</si>
  <si>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</si>
  <si>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</si>
  <si>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</si>
  <si>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</si>
  <si>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</si>
  <si>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</si>
  <si>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</si>
  <si>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</si>
  <si>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</si>
  <si>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</si>
  <si>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</si>
  <si>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</si>
  <si>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</si>
  <si>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</si>
  <si>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</si>
  <si>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</si>
  <si>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</si>
  <si>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</si>
  <si>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</si>
  <si>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</si>
  <si>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</si>
  <si>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</si>
  <si>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</si>
  <si>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</si>
  <si>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</si>
  <si>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</si>
  <si>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</si>
  <si>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</si>
  <si>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</si>
  <si>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</si>
  <si>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</si>
  <si>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</si>
  <si>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</si>
  <si>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</si>
  <si>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</si>
  <si>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</si>
  <si>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</si>
  <si>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</si>
  <si>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</si>
  <si>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</si>
  <si>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</si>
  <si>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</si>
  <si>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</si>
  <si>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</si>
  <si>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</si>
  <si>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</si>
  <si>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</si>
  <si>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</si>
  <si>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</si>
  <si>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</si>
  <si>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</si>
  <si>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</si>
  <si>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</si>
  <si>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</si>
  <si>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</si>
  <si>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</si>
  <si>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</si>
  <si>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</si>
  <si>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</si>
  <si>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</si>
  <si>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</si>
  <si>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</si>
  <si>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</si>
  <si>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</si>
  <si>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</si>
  <si>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</si>
  <si>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</si>
  <si>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</si>
  <si>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</si>
  <si>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</si>
  <si>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</si>
  <si>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</si>
  <si>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</si>
  <si>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</si>
  <si>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</si>
  <si>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</si>
  <si>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</si>
  <si>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</si>
  <si>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</si>
  <si>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</si>
  <si>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</si>
  <si>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</si>
  <si>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</si>
  <si>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</si>
  <si>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</si>
  <si>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</si>
  <si>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</si>
  <si>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</si>
  <si>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</si>
  <si>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</si>
  <si>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</si>
  <si>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</si>
  <si>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</si>
  <si>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</si>
  <si>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</si>
  <si>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</si>
  <si>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</si>
  <si>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</si>
  <si>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</si>
  <si>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</si>
  <si>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</si>
  <si>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</si>
  <si>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</si>
  <si>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</si>
  <si>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</si>
  <si>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</si>
  <si>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</si>
  <si>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</si>
  <si>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</si>
  <si>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</si>
  <si>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</si>
  <si>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</si>
  <si>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</si>
  <si>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</si>
  <si>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</si>
  <si>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</si>
  <si>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</si>
  <si>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</si>
  <si>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</si>
  <si>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</si>
  <si>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</si>
  <si>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</si>
  <si>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</si>
  <si>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</si>
  <si>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</si>
  <si>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</si>
  <si>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</si>
  <si>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</si>
  <si>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</si>
  <si>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</si>
  <si>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</si>
  <si>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</si>
  <si>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</si>
  <si>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</si>
  <si>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</si>
  <si>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</si>
  <si>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</si>
  <si>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</si>
  <si>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</si>
  <si>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</si>
  <si>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</si>
  <si>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</si>
  <si>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</si>
  <si>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</si>
  <si>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</si>
  <si>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</si>
  <si>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</si>
  <si>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</si>
  <si>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</si>
  <si>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</si>
  <si>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</si>
  <si>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</si>
  <si>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</si>
  <si>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</si>
  <si>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</si>
  <si>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</si>
  <si>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</si>
  <si>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</si>
  <si>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</si>
  <si>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</si>
  <si>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</si>
  <si>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</si>
  <si>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</si>
  <si>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</si>
  <si>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</si>
  <si>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</si>
  <si>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</si>
  <si>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</si>
  <si>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</si>
  <si>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</si>
  <si>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</si>
  <si>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</si>
  <si>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</si>
  <si>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</si>
  <si>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</si>
  <si>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</si>
  <si>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</si>
  <si>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</si>
  <si>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</si>
  <si>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</si>
  <si>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</si>
  <si>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</si>
  <si>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</si>
  <si>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</si>
  <si>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</si>
  <si>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</si>
  <si>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</si>
  <si>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</si>
  <si>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</si>
  <si>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</si>
  <si>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</si>
  <si>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</si>
  <si>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</si>
  <si>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</si>
  <si>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</si>
  <si>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</si>
  <si>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</si>
  <si>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</si>
  <si>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</si>
  <si>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</si>
  <si>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</si>
  <si>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</si>
  <si>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</si>
  <si>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</si>
  <si>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</si>
  <si>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</si>
  <si>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</si>
  <si>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</si>
  <si>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</si>
  <si>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</si>
  <si>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</si>
  <si>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</si>
  <si>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</si>
  <si>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</si>
  <si>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</si>
  <si>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</si>
  <si>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</si>
  <si>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</si>
  <si>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</si>
  <si>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</si>
  <si>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</si>
  <si>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</si>
  <si>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</si>
  <si>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</si>
  <si>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</si>
  <si>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</si>
  <si>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</si>
  <si>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</si>
  <si>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</si>
  <si>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</si>
  <si>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</si>
  <si>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</si>
  <si>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</si>
  <si>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</si>
  <si>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</si>
  <si>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</si>
  <si>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</si>
  <si>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</si>
  <si>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</si>
  <si>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</si>
  <si>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</si>
  <si>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</si>
  <si>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</si>
  <si>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</si>
  <si>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</si>
  <si>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</si>
  <si>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</si>
  <si>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</si>
  <si>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</si>
  <si>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</si>
  <si>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</si>
  <si>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</si>
  <si>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</si>
  <si>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</si>
  <si>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</si>
  <si>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</si>
  <si>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</si>
  <si>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</si>
  <si>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</si>
  <si>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</si>
  <si>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</si>
  <si>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</si>
  <si>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</si>
  <si>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</si>
  <si>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</si>
  <si>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</si>
  <si>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</si>
  <si>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</si>
  <si>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</si>
  <si>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</si>
  <si>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</si>
  <si>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</si>
  <si>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</si>
  <si>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</si>
  <si>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</si>
  <si>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</si>
  <si>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</si>
  <si>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</si>
  <si>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</si>
  <si>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</si>
  <si>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</si>
  <si>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</si>
  <si>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</si>
  <si>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</si>
  <si>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</si>
  <si>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</si>
  <si>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</si>
  <si>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</si>
  <si>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</si>
  <si>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</si>
  <si>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</si>
  <si>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</si>
  <si>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</si>
  <si>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</si>
  <si>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</si>
  <si>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</si>
  <si>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</si>
  <si>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</si>
  <si>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</si>
  <si>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</si>
  <si>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</si>
  <si>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</si>
  <si>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</si>
  <si>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</si>
  <si>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</si>
  <si>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</si>
  <si>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</si>
  <si>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</si>
  <si>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</si>
  <si>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</si>
  <si>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</si>
  <si>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</si>
  <si>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</si>
  <si>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</si>
  <si>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</si>
  <si>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</si>
  <si>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</si>
  <si>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</si>
  <si>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</si>
  <si>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</si>
  <si>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</si>
  <si>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</si>
  <si>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</si>
  <si>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</si>
  <si>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</si>
  <si>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</si>
  <si>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</si>
  <si>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</si>
  <si>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</si>
  <si>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</si>
  <si>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</si>
  <si>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</si>
  <si>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</si>
  <si>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</si>
  <si>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</si>
  <si>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</si>
  <si>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</si>
  <si>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</si>
  <si>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</si>
  <si>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</si>
  <si>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</si>
  <si>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</si>
  <si>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</si>
  <si>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</si>
  <si>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</si>
  <si>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</si>
  <si>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</si>
  <si>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</si>
  <si>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</si>
  <si>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</si>
  <si>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</si>
  <si>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</si>
  <si>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</si>
  <si>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</si>
  <si>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</si>
  <si>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</si>
  <si>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</si>
  <si>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</si>
  <si>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</si>
  <si>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</si>
  <si>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</si>
  <si>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</si>
  <si>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</si>
  <si>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</si>
  <si>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</si>
  <si>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</si>
  <si>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</si>
  <si>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</si>
  <si>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</si>
  <si>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</si>
  <si>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</si>
  <si>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</si>
  <si>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</si>
  <si>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</si>
  <si>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</si>
  <si>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</si>
  <si>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</si>
  <si>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</si>
  <si>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</si>
  <si>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</si>
  <si>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</si>
  <si>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</si>
  <si>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</si>
  <si>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</si>
  <si>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</si>
  <si>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</si>
  <si>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</si>
  <si>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</si>
  <si>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</si>
  <si>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</si>
  <si>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</si>
  <si>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</si>
  <si>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</si>
  <si>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</si>
  <si>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</si>
  <si>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</si>
  <si>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</si>
  <si>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</si>
  <si>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</si>
  <si>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</si>
  <si>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</si>
  <si>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</si>
  <si>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</si>
  <si>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</si>
  <si>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</si>
  <si>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</si>
  <si>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</si>
  <si>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</si>
  <si>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</si>
  <si>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</si>
  <si>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</si>
  <si>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</si>
  <si>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</si>
  <si>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</si>
  <si>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</si>
  <si>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</si>
  <si>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</si>
  <si>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</si>
  <si>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</si>
  <si>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</si>
  <si>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</si>
  <si>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</si>
  <si>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</si>
  <si>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</si>
  <si>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</si>
  <si>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</si>
  <si>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</si>
  <si>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</si>
  <si>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</si>
  <si>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</si>
  <si>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</si>
  <si>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</si>
  <si>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</si>
  <si>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</si>
  <si>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</si>
  <si>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</si>
  <si>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</si>
  <si>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</si>
  <si>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</si>
  <si>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</si>
  <si>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</si>
  <si>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</si>
  <si>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</si>
  <si>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</si>
  <si>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</si>
  <si>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</si>
  <si>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</si>
  <si>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</si>
  <si>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</si>
  <si>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</si>
  <si>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</si>
  <si>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</si>
  <si>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</si>
  <si>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</si>
  <si>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</si>
  <si>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</si>
  <si>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</si>
  <si>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</si>
  <si>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</si>
  <si>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</si>
  <si>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</si>
  <si>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</si>
  <si>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</si>
  <si>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</si>
  <si>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</si>
  <si>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</si>
  <si>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</si>
  <si>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</si>
  <si>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</si>
  <si>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</si>
  <si>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</si>
  <si>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</si>
  <si>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</si>
  <si>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</si>
  <si>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</si>
  <si>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</si>
  <si>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</si>
  <si>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</si>
  <si>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</si>
  <si>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</si>
  <si>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</si>
  <si>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</si>
  <si>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</si>
  <si>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</si>
  <si>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</si>
  <si>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</si>
  <si>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</si>
  <si>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</si>
  <si>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</si>
  <si>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</si>
  <si>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</si>
  <si>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</si>
  <si>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</si>
  <si>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</si>
  <si>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</si>
  <si>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</si>
  <si>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</si>
  <si>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</si>
  <si>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</si>
  <si>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</si>
  <si>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</si>
  <si>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</si>
  <si>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</si>
  <si>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</si>
  <si>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</si>
  <si>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</si>
  <si>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</si>
  <si>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</si>
  <si>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</si>
  <si>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</si>
  <si>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</si>
  <si>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</si>
  <si>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</si>
  <si>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</si>
  <si>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</si>
  <si>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</si>
  <si>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</si>
  <si>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</si>
  <si>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</si>
  <si>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</si>
  <si>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</si>
  <si>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</si>
  <si>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</si>
  <si>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</si>
  <si>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</si>
  <si>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</si>
  <si>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</si>
  <si>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</si>
  <si>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</si>
  <si>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</si>
  <si>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</si>
  <si>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</si>
  <si>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</si>
  <si>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</si>
  <si>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</si>
  <si>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</si>
  <si>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</si>
  <si>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</si>
  <si>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</si>
  <si>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</si>
  <si>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</si>
  <si>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</si>
  <si>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</si>
  <si>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</si>
  <si>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</si>
  <si>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</si>
  <si>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</si>
  <si>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</si>
  <si>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</si>
  <si>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</si>
  <si>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</si>
  <si>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</si>
  <si>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</si>
  <si>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</si>
  <si>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</si>
  <si>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</si>
  <si>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</si>
  <si>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</si>
  <si>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</si>
  <si>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</si>
  <si>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</si>
  <si>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</si>
  <si>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</si>
  <si>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</si>
  <si>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</si>
  <si>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</si>
  <si>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</si>
  <si>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</si>
  <si>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</si>
  <si>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</si>
  <si>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</si>
  <si>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</si>
  <si>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</si>
  <si>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</si>
  <si>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</si>
  <si>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</si>
  <si>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</si>
  <si>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</si>
  <si>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</si>
  <si>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</si>
  <si>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</si>
  <si>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</si>
  <si>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</si>
  <si>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</si>
  <si>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</si>
  <si>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</si>
  <si>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</si>
  <si>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</si>
  <si>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</si>
  <si>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</si>
  <si>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</si>
  <si>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</si>
  <si>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</si>
  <si>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</si>
  <si>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</si>
  <si>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</si>
  <si>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</si>
  <si>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</si>
  <si>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</si>
  <si>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</si>
  <si>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</si>
  <si>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</si>
  <si>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</si>
  <si>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</si>
  <si>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</si>
  <si>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</si>
  <si>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</si>
  <si>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</si>
  <si>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</si>
  <si>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</si>
  <si>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</si>
  <si>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</si>
  <si>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</si>
  <si>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</si>
  <si>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</si>
  <si>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</si>
  <si>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</si>
  <si>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</si>
  <si>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</si>
  <si>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</si>
  <si>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</si>
  <si>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</si>
  <si>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</si>
  <si>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</si>
  <si>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</si>
  <si>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</si>
  <si>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</si>
  <si>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</si>
  <si>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</si>
  <si>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</si>
  <si>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</si>
  <si>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</si>
  <si>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</si>
  <si>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</si>
  <si>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</si>
  <si>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</si>
  <si>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</si>
  <si>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</si>
  <si>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</si>
  <si>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</si>
  <si>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</si>
  <si>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</si>
  <si>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</si>
  <si>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</si>
  <si>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</si>
  <si>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</si>
  <si>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</si>
  <si>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</si>
  <si>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</si>
  <si>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</si>
  <si>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</si>
  <si>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</si>
  <si>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</si>
  <si>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</si>
  <si>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</si>
  <si>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</si>
  <si>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</si>
  <si>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</si>
  <si>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</si>
  <si>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</si>
  <si>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</si>
  <si>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</si>
  <si>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</si>
  <si>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</si>
  <si>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</si>
  <si>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</si>
  <si>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</si>
  <si>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</si>
  <si>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</si>
  <si>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</si>
  <si>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</si>
  <si>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</si>
  <si>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</si>
  <si>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</si>
  <si>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is_id</t>
  </si>
  <si>
    <t>Niederschlagsmodifikation (mm)</t>
  </si>
  <si>
    <r>
      <t>Mindesttemperaturmodifikation (</t>
    </r>
    <r>
      <rPr>
        <sz val="10"/>
        <color theme="1"/>
        <rFont val="Aptos Narrow"/>
        <family val="2"/>
      </rPr>
      <t>°</t>
    </r>
    <r>
      <rPr>
        <sz val="10"/>
        <color theme="1"/>
        <rFont val="Arial"/>
        <family val="2"/>
      </rPr>
      <t>C)</t>
    </r>
  </si>
  <si>
    <t>Maximaltemperaturmodifikation (°C)</t>
  </si>
  <si>
    <t>Sonnenstrahlungsmodifikation (MJ/m2/d)</t>
  </si>
  <si>
    <t>Tageslängenmodifikation (h)</t>
  </si>
  <si>
    <t>Tageslängenmodifikation [wählen]</t>
  </si>
  <si>
    <t>Sonnenstrahlungsmodifikation [wählen]</t>
  </si>
  <si>
    <t>Maximaltemperaturmodifikation [wählen]</t>
  </si>
  <si>
    <t>Mindesttemperaturmodifikation [wählen]</t>
  </si>
  <si>
    <t>Niederschlagsmodifikation [wählen]</t>
  </si>
  <si>
    <t>Taupunktmodifikation [wählen]</t>
  </si>
  <si>
    <t>Kohlendioxidmodifikation [wählen]</t>
  </si>
  <si>
    <t>Kohlendioxidmodifikation (ppm)</t>
  </si>
  <si>
    <t>Windgeschwindigkeitsmodifikation [wählen]</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</si>
  <si>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</si>
  <si>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</si>
  <si>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</si>
  <si>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</si>
  <si>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</si>
  <si>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</si>
  <si>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</si>
  <si>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</si>
  <si>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Bor im Dünger (kg/ha)</t>
  </si>
  <si>
    <t>Kalium im Dünger (kg/ha)</t>
  </si>
  <si>
    <t>Phosphor im Dünger (kg/ha)</t>
  </si>
  <si>
    <t>Kalzium im Dünger (kg/ha)</t>
  </si>
  <si>
    <t>Eisen im Dünger (kg/ha)</t>
  </si>
  <si>
    <t>Magnesium im Dünger (kg/ha)</t>
  </si>
  <si>
    <t>Mangan im Dünger (kg/ha)</t>
  </si>
  <si>
    <t>Schwefel im Dünger (kg/ha)</t>
  </si>
  <si>
    <t>Zink im Dünger (kg/ha)</t>
  </si>
  <si>
    <t>Andere Elemente in Dünger (kg/ha)</t>
  </si>
  <si>
    <t>Andere Elemente in Dünger [wählen]</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</si>
  <si>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</si>
  <si>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</si>
  <si>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</si>
  <si>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</si>
  <si>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</si>
  <si>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</si>
  <si>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</si>
  <si>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</si>
  <si>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</si>
  <si>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</si>
  <si>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</si>
  <si>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</si>
  <si>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</si>
  <si>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</si>
  <si>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</si>
  <si>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</si>
  <si>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</si>
  <si>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</si>
  <si>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</si>
  <si>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</si>
  <si>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</si>
  <si>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</si>
  <si>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</si>
  <si>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</si>
  <si>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</si>
  <si>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</si>
  <si>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</si>
  <si>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</si>
  <si>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</si>
  <si>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</si>
  <si>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</si>
  <si>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</si>
  <si>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</si>
  <si>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</si>
  <si>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</si>
  <si>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</si>
  <si>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</si>
  <si>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</si>
  <si>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</si>
  <si>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</si>
  <si>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</si>
  <si>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</si>
  <si>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</si>
  <si>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</si>
  <si>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</si>
  <si>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</si>
  <si>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</si>
  <si>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</si>
  <si>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</si>
  <si>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</si>
  <si>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</si>
  <si>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</si>
  <si>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</si>
  <si>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</si>
  <si>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</si>
  <si>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</si>
  <si>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</si>
  <si>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</si>
  <si>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</si>
  <si>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</si>
  <si>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</si>
  <si>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</si>
  <si>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</si>
  <si>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</si>
  <si>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</si>
  <si>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</si>
  <si>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</si>
  <si>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</si>
  <si>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</si>
  <si>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</si>
  <si>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</si>
  <si>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</si>
  <si>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</si>
  <si>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</si>
  <si>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</si>
  <si>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</si>
  <si>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</si>
  <si>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</si>
  <si>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</si>
  <si>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</si>
  <si>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</si>
  <si>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</si>
  <si>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</si>
  <si>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</si>
  <si>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</si>
  <si>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</si>
  <si>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</si>
  <si>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</si>
  <si>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</si>
  <si>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</si>
  <si>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</si>
  <si>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</si>
  <si>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</si>
  <si>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</si>
  <si>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</si>
  <si>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</si>
  <si>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</si>
  <si>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</si>
  <si>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</si>
  <si>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</si>
  <si>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</si>
  <si>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</si>
  <si>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</si>
  <si>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</si>
  <si>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</si>
  <si>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</si>
  <si>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</si>
  <si>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</si>
  <si>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</si>
  <si>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</si>
  <si>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</si>
  <si>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</si>
  <si>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</si>
  <si>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</si>
  <si>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</si>
  <si>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</si>
  <si>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</si>
  <si>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</si>
  <si>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</si>
  <si>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</si>
  <si>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</si>
  <si>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</si>
  <si>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</si>
  <si>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</si>
  <si>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</si>
  <si>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</si>
  <si>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</si>
  <si>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</si>
  <si>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</si>
  <si>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</si>
  <si>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</si>
  <si>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</si>
  <si>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</si>
  <si>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</si>
  <si>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</si>
  <si>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</si>
  <si>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</si>
  <si>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</si>
  <si>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</si>
  <si>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</si>
  <si>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</si>
  <si>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</si>
  <si>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</si>
  <si>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</si>
  <si>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</si>
  <si>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</si>
  <si>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</si>
  <si>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</si>
  <si>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</si>
  <si>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</si>
  <si>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</si>
  <si>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</si>
  <si>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</si>
  <si>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</si>
  <si>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</si>
  <si>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</si>
  <si>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</si>
  <si>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</si>
  <si>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</si>
  <si>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</si>
  <si>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</si>
  <si>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</si>
  <si>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</si>
  <si>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</si>
  <si>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</si>
  <si>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</si>
  <si>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</si>
  <si>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</si>
  <si>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</si>
  <si>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</si>
  <si>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</si>
  <si>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</si>
  <si>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</si>
  <si>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</si>
  <si>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</si>
  <si>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</si>
  <si>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</si>
  <si>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</si>
  <si>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</si>
  <si>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</si>
  <si>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</si>
  <si>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</si>
  <si>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</si>
  <si>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</si>
  <si>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</si>
  <si>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</si>
  <si>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</si>
  <si>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</si>
  <si>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</si>
  <si>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</si>
  <si>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</si>
  <si>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</si>
  <si>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</si>
  <si>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</si>
  <si>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</si>
  <si>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</si>
  <si>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</si>
  <si>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</si>
  <si>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</si>
  <si>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</si>
  <si>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</si>
  <si>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</si>
  <si>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</si>
  <si>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</si>
  <si>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</si>
  <si>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</si>
  <si>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</si>
  <si>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</si>
  <si>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</si>
  <si>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</si>
  <si>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</si>
  <si>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</si>
  <si>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</si>
  <si>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</si>
  <si>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</si>
  <si>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</si>
  <si>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</si>
  <si>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</si>
  <si>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</si>
  <si>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</si>
  <si>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</si>
  <si>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</si>
  <si>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</si>
  <si>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</si>
  <si>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</si>
  <si>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</si>
  <si>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</si>
  <si>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</si>
  <si>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</si>
  <si>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</si>
  <si>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</si>
  <si>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</si>
  <si>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</si>
  <si>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</si>
  <si>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</si>
  <si>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</si>
  <si>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</si>
  <si>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</si>
  <si>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</si>
  <si>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</si>
  <si>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</si>
  <si>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</si>
  <si>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</si>
  <si>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</si>
  <si>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</si>
  <si>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</si>
  <si>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</si>
  <si>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</si>
  <si>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</si>
  <si>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</si>
  <si>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</si>
  <si>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</si>
  <si>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</si>
  <si>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</si>
  <si>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</si>
  <si>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</si>
  <si>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</si>
  <si>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</si>
  <si>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</si>
  <si>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</si>
  <si>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</si>
  <si>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</si>
  <si>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</si>
  <si>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</si>
  <si>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</si>
  <si>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</si>
  <si>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</si>
  <si>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</si>
  <si>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</si>
  <si>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</si>
  <si>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</si>
  <si>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</si>
  <si>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</si>
  <si>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</si>
  <si>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</si>
  <si>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</si>
  <si>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</si>
  <si>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</si>
  <si>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</si>
  <si>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</si>
  <si>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</si>
  <si>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</si>
  <si>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</si>
  <si>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</si>
  <si>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</si>
  <si>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</si>
  <si>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</si>
  <si>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</si>
  <si>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</si>
  <si>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</si>
  <si>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</si>
  <si>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</si>
  <si>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</si>
  <si>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</si>
  <si>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</si>
  <si>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</si>
  <si>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</si>
  <si>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</si>
  <si>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</si>
  <si>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</si>
  <si>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</si>
  <si>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</si>
  <si>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</si>
  <si>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</si>
  <si>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</si>
  <si>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</si>
  <si>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</si>
  <si>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</si>
  <si>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</si>
  <si>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</si>
  <si>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</si>
  <si>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</si>
  <si>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</si>
  <si>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</si>
  <si>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</si>
  <si>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</si>
  <si>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</si>
  <si>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</si>
  <si>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</si>
  <si>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</si>
  <si>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</si>
  <si>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</si>
  <si>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</si>
  <si>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</si>
  <si>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</si>
  <si>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</si>
  <si>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</si>
  <si>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</si>
  <si>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</si>
  <si>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</si>
  <si>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</si>
  <si>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</si>
  <si>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</si>
  <si>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</si>
  <si>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</si>
  <si>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</si>
  <si>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</si>
  <si>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</si>
  <si>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</si>
  <si>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</si>
  <si>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</si>
  <si>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</si>
  <si>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</si>
  <si>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</si>
  <si>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</si>
  <si>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</si>
  <si>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</si>
  <si>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</si>
  <si>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</si>
  <si>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</si>
  <si>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</si>
  <si>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</si>
  <si>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</si>
  <si>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</si>
  <si>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</si>
  <si>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</si>
  <si>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</si>
  <si>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</si>
  <si>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</si>
  <si>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</si>
  <si>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</si>
  <si>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</si>
  <si>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</si>
  <si>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</si>
  <si>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</si>
  <si>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</si>
  <si>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Field history, intensity/crops/prior vegetation</t>
  </si>
  <si>
    <t>Soil profile descripition, file</t>
  </si>
  <si>
    <t>Weather dataset, description file</t>
  </si>
  <si>
    <t>Planting density (#/m2)</t>
  </si>
  <si>
    <t>score</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</si>
  <si>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</si>
  <si>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</si>
  <si>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</si>
  <si>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</si>
  <si>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</si>
  <si>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</si>
  <si>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</si>
  <si>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</si>
  <si>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</si>
  <si>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</si>
  <si>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</si>
  <si>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</si>
  <si>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</si>
  <si>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</si>
  <si>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</si>
  <si>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</si>
  <si>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</si>
  <si>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</si>
  <si>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</si>
  <si>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</si>
  <si>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</si>
  <si>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</si>
  <si>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</si>
  <si>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</si>
  <si>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</si>
  <si>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</si>
  <si>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</si>
  <si>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</si>
  <si>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</si>
  <si>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</si>
  <si>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</si>
  <si>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</si>
  <si>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</si>
  <si>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</si>
  <si>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</si>
  <si>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</si>
  <si>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</si>
  <si>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</si>
  <si>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</si>
  <si>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</si>
  <si>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</si>
  <si>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</si>
  <si>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</si>
  <si>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</si>
  <si>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</si>
  <si>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</si>
  <si>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</si>
  <si>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</si>
  <si>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</si>
  <si>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</si>
  <si>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</si>
  <si>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</si>
  <si>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</si>
  <si>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</si>
  <si>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</si>
  <si>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</si>
  <si>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</si>
  <si>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</si>
  <si>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</si>
  <si>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</si>
  <si>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</si>
  <si>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</si>
  <si>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</si>
  <si>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</si>
  <si>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</si>
  <si>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</si>
  <si>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</si>
  <si>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</si>
  <si>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</si>
  <si>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</si>
  <si>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</si>
  <si>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</si>
  <si>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</si>
  <si>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</si>
  <si>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</si>
  <si>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</si>
  <si>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</si>
  <si>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</si>
  <si>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</si>
  <si>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</si>
  <si>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</si>
  <si>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</si>
  <si>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</si>
  <si>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</si>
  <si>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</si>
  <si>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</si>
  <si>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</si>
  <si>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</si>
  <si>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</si>
  <si>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</si>
  <si>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</si>
  <si>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</si>
  <si>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</si>
  <si>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</si>
  <si>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</si>
  <si>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</si>
  <si>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</si>
  <si>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</si>
  <si>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</si>
  <si>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</si>
  <si>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</si>
  <si>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</si>
  <si>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</si>
  <si>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</si>
  <si>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</si>
  <si>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</si>
  <si>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</si>
  <si>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</si>
  <si>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</si>
  <si>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</si>
  <si>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</si>
  <si>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</si>
  <si>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</si>
  <si>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</si>
  <si>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</si>
  <si>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</si>
  <si>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</si>
  <si>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</si>
  <si>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</si>
  <si>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</si>
  <si>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</si>
  <si>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</si>
  <si>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</si>
  <si>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</si>
  <si>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</si>
  <si>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</si>
  <si>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</si>
  <si>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</si>
  <si>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</si>
  <si>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</si>
  <si>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</si>
  <si>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</si>
  <si>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</si>
  <si>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</si>
  <si>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</si>
  <si>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</si>
  <si>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</si>
  <si>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</si>
  <si>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</si>
  <si>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</si>
  <si>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</si>
  <si>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</si>
  <si>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</si>
  <si>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</si>
  <si>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</si>
  <si>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</si>
  <si>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</si>
  <si>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</si>
  <si>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</si>
  <si>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</si>
  <si>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</si>
  <si>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</si>
  <si>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</si>
  <si>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</si>
  <si>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</si>
  <si>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</si>
  <si>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</si>
  <si>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</si>
  <si>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</si>
  <si>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</si>
  <si>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</si>
  <si>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</si>
  <si>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</si>
  <si>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</si>
  <si>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</si>
  <si>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</si>
  <si>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</si>
  <si>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</si>
  <si>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</si>
  <si>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</si>
  <si>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</si>
  <si>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</si>
  <si>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</si>
  <si>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</si>
  <si>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</si>
  <si>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</si>
  <si>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</si>
  <si>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</si>
  <si>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</si>
  <si>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</si>
  <si>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</si>
  <si>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</si>
  <si>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</si>
  <si>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</si>
  <si>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</si>
  <si>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</si>
  <si>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</si>
  <si>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</si>
  <si>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</si>
  <si>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</si>
  <si>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</si>
  <si>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</si>
  <si>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</si>
  <si>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</si>
  <si>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</si>
  <si>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</si>
  <si>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</si>
  <si>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</si>
  <si>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</si>
  <si>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</si>
  <si>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</si>
  <si>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</si>
  <si>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</si>
  <si>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</si>
  <si>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</si>
  <si>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</si>
  <si>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</si>
  <si>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</si>
  <si>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</si>
  <si>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</si>
  <si>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</si>
  <si>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</si>
  <si>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</si>
  <si>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</si>
  <si>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</si>
  <si>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</si>
  <si>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</si>
  <si>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</si>
  <si>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</si>
  <si>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</si>
  <si>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</si>
  <si>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</si>
  <si>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</si>
  <si>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</si>
  <si>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</si>
  <si>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</si>
  <si>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</si>
  <si>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</si>
  <si>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</si>
  <si>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</si>
  <si>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</si>
  <si>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</si>
  <si>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</si>
  <si>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</si>
  <si>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</si>
  <si>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</si>
  <si>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</si>
  <si>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</si>
  <si>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</si>
  <si>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</si>
  <si>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</si>
  <si>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</si>
  <si>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</si>
  <si>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</si>
  <si>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</si>
  <si>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</si>
  <si>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</si>
  <si>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</si>
  <si>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</si>
  <si>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</si>
  <si>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</si>
  <si>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</si>
  <si>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</si>
  <si>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</si>
  <si>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</si>
  <si>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</si>
  <si>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</si>
  <si>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</si>
  <si>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</si>
  <si>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</si>
  <si>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</si>
  <si>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</si>
  <si>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</si>
  <si>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</si>
  <si>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</si>
  <si>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</si>
  <si>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</si>
  <si>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</si>
  <si>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</si>
  <si>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</si>
  <si>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</si>
  <si>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</si>
  <si>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</si>
  <si>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</si>
  <si>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</si>
  <si>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</si>
  <si>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</si>
  <si>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</si>
  <si>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</si>
  <si>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</si>
  <si>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</si>
  <si>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</si>
  <si>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</si>
  <si>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</si>
  <si>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</si>
  <si>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</si>
  <si>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</si>
  <si>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</si>
  <si>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</si>
  <si>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</si>
  <si>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</si>
  <si>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</si>
  <si>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</si>
  <si>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</si>
  <si>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</si>
  <si>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</si>
  <si>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</si>
  <si>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</si>
  <si>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</si>
  <si>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</si>
  <si>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</si>
  <si>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</si>
  <si>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</si>
  <si>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</si>
  <si>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</si>
  <si>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</si>
  <si>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</si>
  <si>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</si>
  <si>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</si>
  <si>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</si>
  <si>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</si>
  <si>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</si>
  <si>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</si>
  <si>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</si>
  <si>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</si>
  <si>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</si>
  <si>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</si>
  <si>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</si>
  <si>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</si>
  <si>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</si>
  <si>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</si>
  <si>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</si>
  <si>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</si>
  <si>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</si>
  <si>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</si>
  <si>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</si>
  <si>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</si>
  <si>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</si>
  <si>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</si>
  <si>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</si>
  <si>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</si>
  <si>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</si>
  <si>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</si>
  <si>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</si>
  <si>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</si>
  <si>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</si>
  <si>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</si>
  <si>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</si>
  <si>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</si>
  <si>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</si>
  <si>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</si>
  <si>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</si>
  <si>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</si>
  <si>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</si>
  <si>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</si>
  <si>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</si>
  <si>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</si>
  <si>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</si>
  <si>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</si>
  <si>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</si>
  <si>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</si>
  <si>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</si>
  <si>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</si>
  <si>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</si>
  <si>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</si>
  <si>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</si>
  <si>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</si>
  <si>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</si>
  <si>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</si>
  <si>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</si>
  <si>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</si>
  <si>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</si>
  <si>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</si>
  <si>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</si>
  <si>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</si>
  <si>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</si>
  <si>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</si>
  <si>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</si>
  <si>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</si>
  <si>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</si>
  <si>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</si>
  <si>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</si>
  <si>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</si>
  <si>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</si>
  <si>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</si>
  <si>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</si>
  <si>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</si>
  <si>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</si>
  <si>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</si>
  <si>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</si>
  <si>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</si>
  <si>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</si>
  <si>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</si>
  <si>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</si>
  <si>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</si>
  <si>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</si>
  <si>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</si>
  <si>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</si>
  <si>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</si>
  <si>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</si>
  <si>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</si>
  <si>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</si>
  <si>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</si>
  <si>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</si>
  <si>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</si>
  <si>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</si>
  <si>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</si>
  <si>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</si>
  <si>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</si>
  <si>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</si>
  <si>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</si>
  <si>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</si>
  <si>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</si>
  <si>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</si>
  <si>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</si>
  <si>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</si>
  <si>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</si>
  <si>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</si>
  <si>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</si>
  <si>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</si>
  <si>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</si>
  <si>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</si>
  <si>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</si>
  <si>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</si>
  <si>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</si>
  <si>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</si>
  <si>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</si>
  <si>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</si>
  <si>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</si>
  <si>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</si>
  <si>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</si>
  <si>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</si>
  <si>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</si>
  <si>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</si>
  <si>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</si>
  <si>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</si>
  <si>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</si>
  <si>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</si>
  <si>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</si>
  <si>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</si>
  <si>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</si>
  <si>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</si>
  <si>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</si>
  <si>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</si>
  <si>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</si>
  <si>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</si>
  <si>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</si>
  <si>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</si>
  <si>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</si>
  <si>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</si>
  <si>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</si>
  <si>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</si>
  <si>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</si>
  <si>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</si>
  <si>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</si>
  <si>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</si>
  <si>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</si>
  <si>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</si>
  <si>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</si>
  <si>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</si>
  <si>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</si>
  <si>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</si>
  <si>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</si>
  <si>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</si>
  <si>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</si>
  <si>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</si>
  <si>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</si>
  <si>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</si>
  <si>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</si>
  <si>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</si>
  <si>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</si>
  <si>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</si>
  <si>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</si>
  <si>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</si>
  <si>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</si>
  <si>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</si>
  <si>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</si>
  <si>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</si>
  <si>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</si>
  <si>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</si>
  <si>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</si>
  <si>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</si>
  <si>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</si>
  <si>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</si>
  <si>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</si>
  <si>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</si>
  <si>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</si>
  <si>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</si>
  <si>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</si>
  <si>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</si>
  <si>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</si>
  <si>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</si>
  <si>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</si>
  <si>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</si>
  <si>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</si>
  <si>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</si>
  <si>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</si>
  <si>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</si>
  <si>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</si>
  <si>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</si>
  <si>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</si>
  <si>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</si>
  <si>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</si>
  <si>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</si>
  <si>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</si>
  <si>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</si>
  <si>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</si>
  <si>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</si>
  <si>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</si>
  <si>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</si>
  <si>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</si>
  <si>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</si>
  <si>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</si>
  <si>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</si>
  <si>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</si>
  <si>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</si>
  <si>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</si>
  <si>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</si>
  <si>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</si>
  <si>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</si>
  <si>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</si>
  <si>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</si>
  <si>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</si>
  <si>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</si>
  <si>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</si>
  <si>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</si>
  <si>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</si>
  <si>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</si>
  <si>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</si>
  <si>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</si>
  <si>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</si>
  <si>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</si>
  <si>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</si>
  <si>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</si>
  <si>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</si>
  <si>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</si>
  <si>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</si>
  <si>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</si>
  <si>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</si>
  <si>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</si>
  <si>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</si>
  <si>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</si>
  <si>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</si>
  <si>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</si>
  <si>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</si>
  <si>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</si>
  <si>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</si>
  <si>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</si>
  <si>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</si>
  <si>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</si>
  <si>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</si>
  <si>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</si>
  <si>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</si>
  <si>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</si>
  <si>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</si>
  <si>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</si>
  <si>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</si>
  <si>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</si>
  <si>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</si>
  <si>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</si>
  <si>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</si>
  <si>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</si>
  <si>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</si>
  <si>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</si>
  <si>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</si>
  <si>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</si>
  <si>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</si>
  <si>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</si>
  <si>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</si>
  <si>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</si>
  <si>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</si>
  <si>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</si>
  <si>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</si>
  <si>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</si>
  <si>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</si>
  <si>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</si>
  <si>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</si>
  <si>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</si>
  <si>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</si>
  <si>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</si>
  <si>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</si>
  <si>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</si>
  <si>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</si>
  <si>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</si>
  <si>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</si>
  <si>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</si>
  <si>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</si>
  <si>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</si>
  <si>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</si>
  <si>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</si>
  <si>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</si>
  <si>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</si>
  <si>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</si>
  <si>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</si>
  <si>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</si>
  <si>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</si>
  <si>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</si>
  <si>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</si>
  <si>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</si>
  <si>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</si>
  <si>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</si>
  <si>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</si>
  <si>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</si>
  <si>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</si>
  <si>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</si>
  <si>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</si>
  <si>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</si>
  <si>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</si>
  <si>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</si>
  <si>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</si>
  <si>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</si>
  <si>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</si>
  <si>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</si>
  <si>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</si>
  <si>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</si>
  <si>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</si>
  <si>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</si>
  <si>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</si>
  <si>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</si>
  <si>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</si>
  <si>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</si>
  <si>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</si>
  <si>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</si>
  <si>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</si>
  <si>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</si>
  <si>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</si>
  <si>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</si>
  <si>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</si>
  <si>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</si>
  <si>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</si>
  <si>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</si>
  <si>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</si>
  <si>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</si>
  <si>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</si>
  <si>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</si>
  <si>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</si>
  <si>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</si>
  <si>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</si>
  <si>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</si>
  <si>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</si>
  <si>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</si>
  <si>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</si>
  <si>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</si>
  <si>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</si>
  <si>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</si>
  <si>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</si>
  <si>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</si>
  <si>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</si>
  <si>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</si>
  <si>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</si>
  <si>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</si>
  <si>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</si>
  <si>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</si>
  <si>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</si>
  <si>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</si>
  <si>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</si>
  <si>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</si>
  <si>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</si>
  <si>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</si>
  <si>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</si>
  <si>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</si>
  <si>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</si>
  <si>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</si>
  <si>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</si>
  <si>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</si>
  <si>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</si>
  <si>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</si>
  <si>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</si>
  <si>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</si>
  <si>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</si>
  <si>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</si>
  <si>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</si>
  <si>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</si>
  <si>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</si>
  <si>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</si>
  <si>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</si>
  <si>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</si>
  <si>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</si>
  <si>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</si>
  <si>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</si>
  <si>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</si>
  <si>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</si>
  <si>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</si>
  <si>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</si>
  <si>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</si>
  <si>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</si>
  <si>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</si>
  <si>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</si>
  <si>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</si>
  <si>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</si>
  <si>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</si>
  <si>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</si>
  <si>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</si>
  <si>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</si>
  <si>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</si>
  <si>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</si>
  <si>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</si>
  <si>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</si>
  <si>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</si>
  <si>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</si>
  <si>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</si>
  <si>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</si>
  <si>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</si>
  <si>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</si>
  <si>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</si>
  <si>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</si>
  <si>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</si>
  <si>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</si>
  <si>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</si>
  <si>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</si>
  <si>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</si>
  <si>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</si>
  <si>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</si>
  <si>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</si>
  <si>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</si>
  <si>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</si>
  <si>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</si>
  <si>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</si>
  <si>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</si>
  <si>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</si>
  <si>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</si>
  <si>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</si>
  <si>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</si>
  <si>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</si>
  <si>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</si>
  <si>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</si>
  <si>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</si>
  <si>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</si>
  <si>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</si>
  <si>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</si>
  <si>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</si>
  <si>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</si>
  <si>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</si>
  <si>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</si>
  <si>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</si>
  <si>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</si>
  <si>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</si>
  <si>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</si>
  <si>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</si>
  <si>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</si>
  <si>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</si>
  <si>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</si>
  <si>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</si>
  <si>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</si>
  <si>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</si>
  <si>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</si>
  <si>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</si>
  <si>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</si>
  <si>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</si>
  <si>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</si>
  <si>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</si>
  <si>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</si>
  <si>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</si>
  <si>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</si>
  <si>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</si>
  <si>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</si>
  <si>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</si>
  <si>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</si>
  <si>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</si>
  <si>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</si>
  <si>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</si>
  <si>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</si>
  <si>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</si>
  <si>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</si>
  <si>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</si>
  <si>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</si>
  <si>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</si>
  <si>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</si>
  <si>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</si>
  <si>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</si>
  <si>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</si>
  <si>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</si>
  <si>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</si>
  <si>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</si>
  <si>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</si>
  <si>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</si>
  <si>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</si>
  <si>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</si>
  <si>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</si>
  <si>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</si>
  <si>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</si>
  <si>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</si>
  <si>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</si>
  <si>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</si>
  <si>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</si>
  <si>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</si>
  <si>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</si>
  <si>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</si>
  <si>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</si>
  <si>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</si>
  <si>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</si>
  <si>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</si>
  <si>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</si>
  <si>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</si>
  <si>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</si>
  <si>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</si>
  <si>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</si>
  <si>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</si>
  <si>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</si>
  <si>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</si>
  <si>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</si>
  <si>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</si>
  <si>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</si>
  <si>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</si>
  <si>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</si>
  <si>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</si>
  <si>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</si>
  <si>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</si>
  <si>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</si>
  <si>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</si>
  <si>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</si>
  <si>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</si>
  <si>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</si>
  <si>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</si>
  <si>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</si>
  <si>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</si>
  <si>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</si>
  <si>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</si>
  <si>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</si>
  <si>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</si>
  <si>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</si>
  <si>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</si>
  <si>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</si>
  <si>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</si>
  <si>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</si>
  <si>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</si>
  <si>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</si>
  <si>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</si>
  <si>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</si>
  <si>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</si>
  <si>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</si>
  <si>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</si>
  <si>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</si>
  <si>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</si>
  <si>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</si>
  <si>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</si>
  <si>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</si>
  <si>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</si>
  <si>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</si>
  <si>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</si>
  <si>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</si>
  <si>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</si>
  <si>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</si>
  <si>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</si>
  <si>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</si>
  <si>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</si>
  <si>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</si>
  <si>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</si>
  <si>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</si>
  <si>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</si>
  <si>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</si>
  <si>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</si>
  <si>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</si>
  <si>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</si>
  <si>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</si>
  <si>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</si>
  <si>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</si>
  <si>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</si>
  <si>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</si>
  <si>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</si>
  <si>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</si>
  <si>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</si>
  <si>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</si>
  <si>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</si>
  <si>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</si>
  <si>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</si>
  <si>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</si>
  <si>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</si>
  <si>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</si>
  <si>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</si>
  <si>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</si>
  <si>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</si>
  <si>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</si>
  <si>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</si>
  <si>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</si>
  <si>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</si>
  <si>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</si>
  <si>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</si>
  <si>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</si>
  <si>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</si>
  <si>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</si>
  <si>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</si>
  <si>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</si>
  <si>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</si>
  <si>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</si>
  <si>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</si>
  <si>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</si>
  <si>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</si>
  <si>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</si>
  <si>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</si>
  <si>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</si>
  <si>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</si>
  <si>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</si>
  <si>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</si>
  <si>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</si>
  <si>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</si>
  <si>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</si>
  <si>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</si>
  <si>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</si>
  <si>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</si>
  <si>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</si>
  <si>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</si>
  <si>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</si>
  <si>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</si>
  <si>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</si>
  <si>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</si>
  <si>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</si>
  <si>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</si>
  <si>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</si>
  <si>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</si>
  <si>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</si>
  <si>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</si>
  <si>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</si>
  <si>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</si>
  <si>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</si>
  <si>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</si>
  <si>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</si>
  <si>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</si>
  <si>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</si>
  <si>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</si>
  <si>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</si>
  <si>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</si>
  <si>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</si>
  <si>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</si>
  <si>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</si>
  <si>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</si>
  <si>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</si>
  <si>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</si>
  <si>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</si>
  <si>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</si>
  <si>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</si>
  <si>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</si>
  <si>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</si>
  <si>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</si>
  <si>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</si>
  <si>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</si>
  <si>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</si>
  <si>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</si>
  <si>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</si>
  <si>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</si>
  <si>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</si>
  <si>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</si>
  <si>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</si>
  <si>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</si>
  <si>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</si>
  <si>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</si>
  <si>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</si>
  <si>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</si>
  <si>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</si>
  <si>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</si>
  <si>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</si>
  <si>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</si>
  <si>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</si>
  <si>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</si>
  <si>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</si>
  <si>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</si>
  <si>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</si>
  <si>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</si>
  <si>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</si>
  <si>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</si>
  <si>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</si>
  <si>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</si>
  <si>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</si>
  <si>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</si>
  <si>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</si>
  <si>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</si>
  <si>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</si>
  <si>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</si>
  <si>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</si>
  <si>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</si>
  <si>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</si>
  <si>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</si>
  <si>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</si>
  <si>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</si>
  <si>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</si>
  <si>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</si>
  <si>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</si>
  <si>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</si>
  <si>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</si>
  <si>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</si>
  <si>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</si>
  <si>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</si>
  <si>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</si>
  <si>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</si>
  <si>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</si>
  <si>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</si>
  <si>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</si>
  <si>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</si>
  <si>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</si>
  <si>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</si>
  <si>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</si>
  <si>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</si>
  <si>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</si>
  <si>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</si>
  <si>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</si>
  <si>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</si>
  <si>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</si>
  <si>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</si>
  <si>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</si>
  <si>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</si>
  <si>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</si>
  <si>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</si>
  <si>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</si>
  <si>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</si>
  <si>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</si>
  <si>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</si>
  <si>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</si>
  <si>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</si>
  <si>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</si>
  <si>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</si>
  <si>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</si>
  <si>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</si>
  <si>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</si>
  <si>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</si>
  <si>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</si>
  <si>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</si>
  <si>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</si>
  <si>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</si>
  <si>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</si>
  <si>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</si>
  <si>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</si>
  <si>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</si>
  <si>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</si>
  <si>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</si>
  <si>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</si>
  <si>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</si>
  <si>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</si>
  <si>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</si>
  <si>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</si>
  <si>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</si>
  <si>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</si>
  <si>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</si>
  <si>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</si>
  <si>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</si>
  <si>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</si>
  <si>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</si>
  <si>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</si>
  <si>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</si>
  <si>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</si>
  <si>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</si>
  <si>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</si>
  <si>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</si>
  <si>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</si>
  <si>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</si>
  <si>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</si>
  <si>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</si>
  <si>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</si>
  <si>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</si>
  <si>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</si>
  <si>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</si>
  <si>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</si>
  <si>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</si>
  <si>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</si>
  <si>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</si>
  <si>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</si>
  <si>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</si>
  <si>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</si>
  <si>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</si>
  <si>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</si>
  <si>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</si>
  <si>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</si>
  <si>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</si>
  <si>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</si>
  <si>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</si>
  <si>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</si>
  <si>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</si>
  <si>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</si>
  <si>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</si>
  <si>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</si>
  <si>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</si>
  <si>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</si>
  <si>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</si>
  <si>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</si>
  <si>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</si>
  <si>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</si>
  <si>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</si>
  <si>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</si>
  <si>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</si>
  <si>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</si>
  <si>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</si>
  <si>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</si>
  <si>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</si>
  <si>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</si>
  <si>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</si>
  <si>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</si>
  <si>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</si>
  <si>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</si>
  <si>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</si>
  <si>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</si>
  <si>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</si>
  <si>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</si>
  <si>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</si>
  <si>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</si>
  <si>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</si>
  <si>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</si>
  <si>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</si>
  <si>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</si>
  <si>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</si>
  <si>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</si>
  <si>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</si>
  <si>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</si>
  <si>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</si>
  <si>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</si>
  <si>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</si>
  <si>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</si>
  <si>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</si>
  <si>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</si>
  <si>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</si>
  <si>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</si>
  <si>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</si>
  <si>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</si>
  <si>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</si>
  <si>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</si>
  <si>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</si>
  <si>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</si>
  <si>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</si>
  <si>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</si>
  <si>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</si>
  <si>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</si>
  <si>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</si>
  <si>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</si>
  <si>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</si>
  <si>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</si>
  <si>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</si>
  <si>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</si>
  <si>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</si>
  <si>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</si>
  <si>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</si>
  <si>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</si>
  <si>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</si>
  <si>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</si>
  <si>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</si>
  <si>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</si>
  <si>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</si>
  <si>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</si>
  <si>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</si>
  <si>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</si>
  <si>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</si>
  <si>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</si>
  <si>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</si>
  <si>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</si>
  <si>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</si>
  <si>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</si>
  <si>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</si>
  <si>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</si>
  <si>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</si>
  <si>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</si>
  <si>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</si>
  <si>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</si>
  <si>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</si>
  <si>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</si>
  <si>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</si>
  <si>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</si>
  <si>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</si>
  <si>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</si>
  <si>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</si>
  <si>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</si>
  <si>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</si>
  <si>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</si>
  <si>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</si>
  <si>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</si>
  <si>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</si>
  <si>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</si>
  <si>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</si>
  <si>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</si>
  <si>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</si>
  <si>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</si>
  <si>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</si>
  <si>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</si>
  <si>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</si>
  <si>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</si>
  <si>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</si>
  <si>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</si>
  <si>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</si>
  <si>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</si>
  <si>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</si>
  <si>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</si>
  <si>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</si>
  <si>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</si>
  <si>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</si>
  <si>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</si>
  <si>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</si>
  <si>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</si>
  <si>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</si>
  <si>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</si>
  <si>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</si>
  <si>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</si>
  <si>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</si>
  <si>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</si>
  <si>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</si>
  <si>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</si>
  <si>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</si>
  <si>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</si>
  <si>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</si>
  <si>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</si>
  <si>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</si>
  <si>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</si>
  <si>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</si>
  <si>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</si>
  <si>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</si>
  <si>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</si>
  <si>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</si>
  <si>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</si>
  <si>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</si>
  <si>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</si>
  <si>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</si>
  <si>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</si>
  <si>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</si>
  <si>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</si>
  <si>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</si>
  <si>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</si>
  <si>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</si>
  <si>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</si>
  <si>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</si>
  <si>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</si>
  <si>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</si>
  <si>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</si>
  <si>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</si>
  <si>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</si>
  <si>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</si>
  <si>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</si>
  <si>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</si>
  <si>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</si>
  <si>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</si>
  <si>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</si>
  <si>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</si>
  <si>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</si>
  <si>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</si>
  <si>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</si>
  <si>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</si>
  <si>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</si>
  <si>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</si>
  <si>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</si>
  <si>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</si>
  <si>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</si>
  <si>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</si>
  <si>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</si>
  <si>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</si>
  <si>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</si>
  <si>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</si>
  <si>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</si>
  <si>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</si>
  <si>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</si>
  <si>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</si>
  <si>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</si>
  <si>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</si>
  <si>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</si>
  <si>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</si>
  <si>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</si>
  <si>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</si>
  <si>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</si>
  <si>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</si>
  <si>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</si>
  <si>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</si>
  <si>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</si>
  <si>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</si>
  <si>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</si>
  <si>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</si>
  <si>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</si>
  <si>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</si>
  <si>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</si>
  <si>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</si>
  <si>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</si>
  <si>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</si>
  <si>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</si>
  <si>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</si>
  <si>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</si>
  <si>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</si>
  <si>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</si>
  <si>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</si>
  <si>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</si>
  <si>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</si>
  <si>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</si>
  <si>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</si>
  <si>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</si>
  <si>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</si>
  <si>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</si>
  <si>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</si>
  <si>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</si>
  <si>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</si>
  <si>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</si>
  <si>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</si>
  <si>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</si>
  <si>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</si>
  <si>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</si>
  <si>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</si>
  <si>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</si>
  <si>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</si>
  <si>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</si>
  <si>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</si>
  <si>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</si>
  <si>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</si>
  <si>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</si>
  <si>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</si>
  <si>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</si>
  <si>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</si>
  <si>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</si>
  <si>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</si>
  <si>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</si>
  <si>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</si>
  <si>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</si>
  <si>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</si>
  <si>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</si>
  <si>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</si>
  <si>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</si>
  <si>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</si>
  <si>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</si>
  <si>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</si>
  <si>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</si>
  <si>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</si>
  <si>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</si>
  <si>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</si>
  <si>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</si>
  <si>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</si>
  <si>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</si>
  <si>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</si>
  <si>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</si>
  <si>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</si>
  <si>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</si>
  <si>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</si>
  <si>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</si>
  <si>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</si>
  <si>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</si>
  <si>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</si>
  <si>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</si>
  <si>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</si>
  <si>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</si>
  <si>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</si>
  <si>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</si>
  <si>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</si>
  <si>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</si>
  <si>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</si>
  <si>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</si>
  <si>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</si>
  <si>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</si>
  <si>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</si>
  <si>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</si>
  <si>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</si>
  <si>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</si>
  <si>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</si>
  <si>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</si>
  <si>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</si>
  <si>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</si>
  <si>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</si>
  <si>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</si>
  <si>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</si>
  <si>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</si>
  <si>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</si>
  <si>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</si>
  <si>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</si>
  <si>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</si>
  <si>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</si>
  <si>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</si>
  <si>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</si>
  <si>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</si>
  <si>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</si>
  <si>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</si>
  <si>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</si>
  <si>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</si>
  <si>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</si>
  <si>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</si>
  <si>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</si>
  <si>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</si>
  <si>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</si>
  <si>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</si>
  <si>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</si>
  <si>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</si>
  <si>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</si>
  <si>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</si>
  <si>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</si>
  <si>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</si>
  <si>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</si>
  <si>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</si>
  <si>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</si>
  <si>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</si>
  <si>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</si>
  <si>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</si>
  <si>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</si>
  <si>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</si>
  <si>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</si>
  <si>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</si>
  <si>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</si>
  <si>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</si>
  <si>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</si>
  <si>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</si>
  <si>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</si>
  <si>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</si>
  <si>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</si>
  <si>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</si>
  <si>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</si>
  <si>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</si>
  <si>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</si>
  <si>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</si>
  <si>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</si>
  <si>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</si>
  <si>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</si>
  <si>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</si>
  <si>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</si>
  <si>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</si>
  <si>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</si>
  <si>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</si>
  <si>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</si>
  <si>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</si>
  <si>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</si>
  <si>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</si>
  <si>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</si>
  <si>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</si>
  <si>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</si>
  <si>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</si>
  <si>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</si>
  <si>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</si>
  <si>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</si>
  <si>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</si>
  <si>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</si>
  <si>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</si>
  <si>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</si>
  <si>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</si>
  <si>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</si>
  <si>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</si>
  <si>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</si>
  <si>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</si>
  <si>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</si>
  <si>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</si>
  <si>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</si>
  <si>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</si>
  <si>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</si>
  <si>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</si>
  <si>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</si>
  <si>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</si>
  <si>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</si>
  <si>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</si>
  <si>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</si>
  <si>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</si>
  <si>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</si>
  <si>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</si>
  <si>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</si>
  <si>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</si>
  <si>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</si>
  <si>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</si>
  <si>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</si>
  <si>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</si>
  <si>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</si>
  <si>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</si>
  <si>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</si>
  <si>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</si>
  <si>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</si>
  <si>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</si>
  <si>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</si>
  <si>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</si>
  <si>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</si>
  <si>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</si>
  <si>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</si>
  <si>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</si>
  <si>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</si>
  <si>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</si>
  <si>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</si>
  <si>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</si>
  <si>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</si>
  <si>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</si>
  <si>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</si>
  <si>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</si>
  <si>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</si>
  <si>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</si>
  <si>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</si>
  <si>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</si>
  <si>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</si>
  <si>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</si>
  <si>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</si>
  <si>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</si>
  <si>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</si>
  <si>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</si>
  <si>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</si>
  <si>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</si>
  <si>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</si>
  <si>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</si>
  <si>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</si>
  <si>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</si>
  <si>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</si>
  <si>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</si>
  <si>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</si>
  <si>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</si>
  <si>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</si>
  <si>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</si>
  <si>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</si>
  <si>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</si>
  <si>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</si>
  <si>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</si>
  <si>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</si>
  <si>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</si>
  <si>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</si>
  <si>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</si>
  <si>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</si>
  <si>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</si>
  <si>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</si>
  <si>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</si>
  <si>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</si>
  <si>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</si>
  <si>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</si>
  <si>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</si>
  <si>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</si>
  <si>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</si>
  <si>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</si>
  <si>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</si>
  <si>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</si>
  <si>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</si>
  <si>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</si>
  <si>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</si>
  <si>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</si>
  <si>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</si>
  <si>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</si>
  <si>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</si>
  <si>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</si>
  <si>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</si>
  <si>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</si>
  <si>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</si>
  <si>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</si>
  <si>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</si>
  <si>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</si>
  <si>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</si>
  <si>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</si>
  <si>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</si>
  <si>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</si>
  <si>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</si>
  <si>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</si>
  <si>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</si>
  <si>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</si>
  <si>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</si>
  <si>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</si>
  <si>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</si>
  <si>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</si>
  <si>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</si>
  <si>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</si>
  <si>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</si>
  <si>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</si>
  <si>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</si>
  <si>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</si>
  <si>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</si>
  <si>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</si>
  <si>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</si>
  <si>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</si>
  <si>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</si>
  <si>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</si>
  <si>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</si>
  <si>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</si>
  <si>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</si>
  <si>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</si>
  <si>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</si>
  <si>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</si>
  <si>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</si>
  <si>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</si>
  <si>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</si>
  <si>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</si>
  <si>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</si>
  <si>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</si>
  <si>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</si>
  <si>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</si>
  <si>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</si>
  <si>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</si>
  <si>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</si>
  <si>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</si>
  <si>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</si>
  <si>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</si>
  <si>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</si>
  <si>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</si>
  <si>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</si>
  <si>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</si>
  <si>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</si>
  <si>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</si>
  <si>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</si>
  <si>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</si>
  <si>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</si>
  <si>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</si>
  <si>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</si>
  <si>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</si>
  <si>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</si>
  <si>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</si>
  <si>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</si>
  <si>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</si>
  <si>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</si>
  <si>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</si>
  <si>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</si>
  <si>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</si>
  <si>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</si>
  <si>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</si>
  <si>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</si>
  <si>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</si>
  <si>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</si>
  <si>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</si>
  <si>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</si>
  <si>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</si>
  <si>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</si>
  <si>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</si>
  <si>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</si>
  <si>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</si>
  <si>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</si>
  <si>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</si>
  <si>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</si>
  <si>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</si>
  <si>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</si>
  <si>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</si>
  <si>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</si>
  <si>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</si>
  <si>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</si>
  <si>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</si>
  <si>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</si>
  <si>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</si>
  <si>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</si>
  <si>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</si>
  <si>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</si>
  <si>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</si>
  <si>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</si>
  <si>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</si>
  <si>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</si>
  <si>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</si>
  <si>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</si>
  <si>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</si>
  <si>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</si>
  <si>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</si>
  <si>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</si>
  <si>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</si>
  <si>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</si>
  <si>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</si>
  <si>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</si>
  <si>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</si>
  <si>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</si>
  <si>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</si>
  <si>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</si>
  <si>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</si>
  <si>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</si>
  <si>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</si>
  <si>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</si>
  <si>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</si>
  <si>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</si>
  <si>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</si>
  <si>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</si>
  <si>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</si>
  <si>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</si>
  <si>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</si>
  <si>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</si>
  <si>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</si>
  <si>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</si>
  <si>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</si>
  <si>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</si>
  <si>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</si>
  <si>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</si>
  <si>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</si>
  <si>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</si>
  <si>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</si>
  <si>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</si>
  <si>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</si>
  <si>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</si>
  <si>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</si>
  <si>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</si>
  <si>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</si>
  <si>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</si>
  <si>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</si>
  <si>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</si>
  <si>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</si>
  <si>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</si>
  <si>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</si>
  <si>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</si>
  <si>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</si>
  <si>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</si>
  <si>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</si>
  <si>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</si>
  <si>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</si>
  <si>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</si>
  <si>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</si>
  <si>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</si>
  <si>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</si>
  <si>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</si>
  <si>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</si>
  <si>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</si>
  <si>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</si>
  <si>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</si>
  <si>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</si>
  <si>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</si>
  <si>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</si>
  <si>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</si>
  <si>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</si>
  <si>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</si>
  <si>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</si>
  <si>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</si>
  <si>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</si>
  <si>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</si>
  <si>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</si>
  <si>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</si>
  <si>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</si>
  <si>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</si>
  <si>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</si>
  <si>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</si>
  <si>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</si>
  <si>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</si>
  <si>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</si>
  <si>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</si>
  <si>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</si>
  <si>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</si>
  <si>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</si>
  <si>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</si>
  <si>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</si>
  <si>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</si>
  <si>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</si>
  <si>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</si>
  <si>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</si>
  <si>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</si>
  <si>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</si>
  <si>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</si>
  <si>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</si>
  <si>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</si>
  <si>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</si>
  <si>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</si>
  <si>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</si>
  <si>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</si>
  <si>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</si>
  <si>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</si>
  <si>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</si>
  <si>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</si>
  <si>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</si>
  <si>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</si>
  <si>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</si>
  <si>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</si>
  <si>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</si>
  <si>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</si>
  <si>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</si>
  <si>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</si>
  <si>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</si>
  <si>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</si>
  <si>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</si>
  <si>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</si>
  <si>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</si>
  <si>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</si>
  <si>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</si>
  <si>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</si>
  <si>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</si>
  <si>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</si>
  <si>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</si>
  <si>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</si>
  <si>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</si>
  <si>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</si>
  <si>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</si>
  <si>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</si>
  <si>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</si>
  <si>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</si>
  <si>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</si>
  <si>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</si>
  <si>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</si>
  <si>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</si>
  <si>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</si>
  <si>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</si>
  <si>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</si>
  <si>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</si>
  <si>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</si>
  <si>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</si>
  <si>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</si>
  <si>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</si>
  <si>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</si>
  <si>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</si>
  <si>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</si>
  <si>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</si>
  <si>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</si>
  <si>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</si>
  <si>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</si>
  <si>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</si>
  <si>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</si>
  <si>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</si>
  <si>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</si>
  <si>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</si>
  <si>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</si>
  <si>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</si>
  <si>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</si>
  <si>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</si>
  <si>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</si>
  <si>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</si>
  <si>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</si>
  <si>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</si>
  <si>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</si>
  <si>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</si>
  <si>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</si>
  <si>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</si>
  <si>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</si>
  <si>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</si>
  <si>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</si>
  <si>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</si>
  <si>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</si>
  <si>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</si>
  <si>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</si>
  <si>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</si>
  <si>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</si>
  <si>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</si>
  <si>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</si>
  <si>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</si>
  <si>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</si>
  <si>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</si>
  <si>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</si>
  <si>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</si>
  <si>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</si>
  <si>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</si>
  <si>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</si>
  <si>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</si>
  <si>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</si>
  <si>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</si>
  <si>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</si>
  <si>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</si>
  <si>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</si>
  <si>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</si>
  <si>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</si>
  <si>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</si>
  <si>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</si>
  <si>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</si>
  <si>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</si>
  <si>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</si>
  <si>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</si>
  <si>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</si>
  <si>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</si>
  <si>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</si>
  <si>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</si>
  <si>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</si>
  <si>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</si>
  <si>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</si>
  <si>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</si>
  <si>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</si>
  <si>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</si>
  <si>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</si>
  <si>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</si>
  <si>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</si>
  <si>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</si>
  <si>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</si>
  <si>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</si>
  <si>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</si>
  <si>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</si>
  <si>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</si>
  <si>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</si>
  <si>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</si>
  <si>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</si>
  <si>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</si>
  <si>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</si>
  <si>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</si>
  <si>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</si>
  <si>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</si>
  <si>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</si>
  <si>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</si>
  <si>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</si>
  <si>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</si>
  <si>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</si>
  <si>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</si>
  <si>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</si>
  <si>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</si>
  <si>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</si>
  <si>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</si>
  <si>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</si>
  <si>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</si>
  <si>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</si>
  <si>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</si>
  <si>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</si>
  <si>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</si>
  <si>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</si>
  <si>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</si>
  <si>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</si>
  <si>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</si>
  <si>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</si>
  <si>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</si>
  <si>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</si>
  <si>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</si>
  <si>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</si>
  <si>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</si>
  <si>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</si>
  <si>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</si>
  <si>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</si>
  <si>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</si>
  <si>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</si>
  <si>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</si>
  <si>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</si>
  <si>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</si>
  <si>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</si>
  <si>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</si>
  <si>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</si>
  <si>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</si>
  <si>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</si>
  <si>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</si>
  <si>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</si>
  <si>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</si>
  <si>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</si>
  <si>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</si>
  <si>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</si>
  <si>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</si>
  <si>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</si>
  <si>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</si>
  <si>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</si>
  <si>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</si>
  <si>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</si>
  <si>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</si>
  <si>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</si>
  <si>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</si>
  <si>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</si>
  <si>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</si>
  <si>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</si>
  <si>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</si>
  <si>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</si>
  <si>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</si>
  <si>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</si>
  <si>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</si>
  <si>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</si>
  <si>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</si>
  <si>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</si>
  <si>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</si>
  <si>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</si>
  <si>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</si>
  <si>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</si>
  <si>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</si>
  <si>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</si>
  <si>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</si>
  <si>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</si>
  <si>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</si>
  <si>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</si>
  <si>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</si>
  <si>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</si>
  <si>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</si>
  <si>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</si>
  <si>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</si>
  <si>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</si>
  <si>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</si>
  <si>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</si>
  <si>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</si>
  <si>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</si>
  <si>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</si>
  <si>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</si>
  <si>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</si>
  <si>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</si>
  <si>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</si>
  <si>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</si>
  <si>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</si>
  <si>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</si>
  <si>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</si>
  <si>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</si>
  <si>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</si>
  <si>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</si>
  <si>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</si>
  <si>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</si>
  <si>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</si>
  <si>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</si>
  <si>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</si>
  <si>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</si>
  <si>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</si>
  <si>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</si>
  <si>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</si>
  <si>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</si>
  <si>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</si>
  <si>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</si>
  <si>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</si>
  <si>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</si>
  <si>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</si>
  <si>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</si>
  <si>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</si>
  <si>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</si>
  <si>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</si>
  <si>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</si>
  <si>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</si>
  <si>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</si>
  <si>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</si>
  <si>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</si>
  <si>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</si>
  <si>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</si>
  <si>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</si>
  <si>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</si>
  <si>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</si>
  <si>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</si>
  <si>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</si>
  <si>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</si>
  <si>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</si>
  <si>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</si>
  <si>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</si>
  <si>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</si>
  <si>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</si>
  <si>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</si>
  <si>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</si>
  <si>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</si>
  <si>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</si>
  <si>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</si>
  <si>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</si>
  <si>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</si>
  <si>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</si>
  <si>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</si>
  <si>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</si>
  <si>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</si>
  <si>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</si>
  <si>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</si>
  <si>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</si>
  <si>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</si>
  <si>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</si>
  <si>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</si>
  <si>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</si>
  <si>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</si>
  <si>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</si>
  <si>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</si>
  <si>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</si>
  <si>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</si>
  <si>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</si>
  <si>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</si>
  <si>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</si>
  <si>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</si>
  <si>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</si>
  <si>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</si>
  <si>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</si>
  <si>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</si>
  <si>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</si>
  <si>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</si>
  <si>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</si>
  <si>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</si>
  <si>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</si>
  <si>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</si>
  <si>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</si>
  <si>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</si>
  <si>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</si>
  <si>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</si>
  <si>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</si>
  <si>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</si>
  <si>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</si>
  <si>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</si>
  <si>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</si>
  <si>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</si>
  <si>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</si>
  <si>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</si>
  <si>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</si>
  <si>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</si>
  <si>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</si>
  <si>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</si>
  <si>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</si>
  <si>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</si>
  <si>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</si>
  <si>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</si>
  <si>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</si>
  <si>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</si>
  <si>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</si>
  <si>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</si>
  <si>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</si>
  <si>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</si>
  <si>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</si>
  <si>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</si>
  <si>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</si>
  <si>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</si>
  <si>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</si>
  <si>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</si>
  <si>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</si>
  <si>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</si>
  <si>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</si>
  <si>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</si>
  <si>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</si>
  <si>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</si>
  <si>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</si>
  <si>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</si>
  <si>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</si>
  <si>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</si>
  <si>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</si>
  <si>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</si>
  <si>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</si>
  <si>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</si>
  <si>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</si>
  <si>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</si>
  <si>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</si>
  <si>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</si>
  <si>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</si>
  <si>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</si>
  <si>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</si>
  <si>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</si>
  <si>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</si>
  <si>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</si>
  <si>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</si>
  <si>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</si>
  <si>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</si>
  <si>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</si>
  <si>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</si>
  <si>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</si>
  <si>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</si>
  <si>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</si>
  <si>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</si>
  <si>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</si>
  <si>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</si>
  <si>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</si>
  <si>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</si>
  <si>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</si>
  <si>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</si>
  <si>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</si>
  <si>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</si>
  <si>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</si>
  <si>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</si>
  <si>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</si>
  <si>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</si>
  <si>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</si>
  <si>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</si>
  <si>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</si>
  <si>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</si>
  <si>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</si>
  <si>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</si>
  <si>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</si>
  <si>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</si>
  <si>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</si>
  <si>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</si>
  <si>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</si>
  <si>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</si>
  <si>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</si>
  <si>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</si>
  <si>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</si>
  <si>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</si>
  <si>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</si>
  <si>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</si>
  <si>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</si>
  <si>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</si>
  <si>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</si>
  <si>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</si>
  <si>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</si>
  <si>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</si>
  <si>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</si>
  <si>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</si>
  <si>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</si>
  <si>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</si>
  <si>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</si>
  <si>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</si>
  <si>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</si>
  <si>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</si>
  <si>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</si>
  <si>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</si>
  <si>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</si>
  <si>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</si>
  <si>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</si>
  <si>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</si>
  <si>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</si>
  <si>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</si>
  <si>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</si>
  <si>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</si>
  <si>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</si>
  <si>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</si>
  <si>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</si>
  <si>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</si>
  <si>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</si>
  <si>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</si>
  <si>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</si>
  <si>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</si>
  <si>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</si>
  <si>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</si>
  <si>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</si>
  <si>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</si>
  <si>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</si>
  <si>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</si>
  <si>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</si>
  <si>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</si>
  <si>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</si>
  <si>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</si>
  <si>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</si>
  <si>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</si>
  <si>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</si>
  <si>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</si>
  <si>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</si>
  <si>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</si>
  <si>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</si>
  <si>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</si>
  <si>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</si>
  <si>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</si>
  <si>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</si>
  <si>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</si>
  <si>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</si>
  <si>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</si>
  <si>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</si>
  <si>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</si>
  <si>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</si>
  <si>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</si>
  <si>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</si>
  <si>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</si>
  <si>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</si>
  <si>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</si>
  <si>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</si>
  <si>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</si>
  <si>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</si>
  <si>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</si>
  <si>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</si>
  <si>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</si>
  <si>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</si>
  <si>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</si>
  <si>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</si>
  <si>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</si>
  <si>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</si>
  <si>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</si>
  <si>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</si>
  <si>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</si>
  <si>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</si>
  <si>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</si>
  <si>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</si>
  <si>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</si>
  <si>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</si>
  <si>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</si>
  <si>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</si>
  <si>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</si>
  <si>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</si>
  <si>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</si>
  <si>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</si>
  <si>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</si>
  <si>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</si>
  <si>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</si>
  <si>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</si>
  <si>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</si>
  <si>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</si>
  <si>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</si>
  <si>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</si>
  <si>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</si>
  <si>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</si>
  <si>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</si>
  <si>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</si>
  <si>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</si>
  <si>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</si>
  <si>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</si>
  <si>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</si>
  <si>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</si>
  <si>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</si>
  <si>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</si>
  <si>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</si>
  <si>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</si>
  <si>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</si>
  <si>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</si>
  <si>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</si>
  <si>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</si>
  <si>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</si>
  <si>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</si>
  <si>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</si>
  <si>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</si>
  <si>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</si>
  <si>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</si>
  <si>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</si>
  <si>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</si>
  <si>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</si>
  <si>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</si>
  <si>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</si>
  <si>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</si>
  <si>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</si>
  <si>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</si>
  <si>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</si>
  <si>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</si>
  <si>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</si>
  <si>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</si>
  <si>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</si>
  <si>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</si>
  <si>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</si>
  <si>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</si>
  <si>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</si>
  <si>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</si>
  <si>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</si>
  <si>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</si>
  <si>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</si>
  <si>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</si>
  <si>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</si>
  <si>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</si>
  <si>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</si>
  <si>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</si>
  <si>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</si>
  <si>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</si>
  <si>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</si>
  <si>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</si>
  <si>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</si>
  <si>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</si>
  <si>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</si>
  <si>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</si>
  <si>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</si>
  <si>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</si>
  <si>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</si>
  <si>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</si>
  <si>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</si>
  <si>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</si>
  <si>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</si>
  <si>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</si>
  <si>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</si>
  <si>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</si>
  <si>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</si>
  <si>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</si>
  <si>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</si>
  <si>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</si>
  <si>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</si>
  <si>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</si>
  <si>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</si>
  <si>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</si>
  <si>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</si>
  <si>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</si>
  <si>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</si>
  <si>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</si>
  <si>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</si>
  <si>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</si>
  <si>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</si>
  <si>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</si>
  <si>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</si>
  <si>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</si>
  <si>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</si>
  <si>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</si>
  <si>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</si>
  <si>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</si>
  <si>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</si>
  <si>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</si>
  <si>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</si>
  <si>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</si>
  <si>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</si>
  <si>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</si>
  <si>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</si>
  <si>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</si>
  <si>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</si>
  <si>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</si>
  <si>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</si>
  <si>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</si>
  <si>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</si>
  <si>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</si>
  <si>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</si>
  <si>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</si>
  <si>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</si>
  <si>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</si>
  <si>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</si>
  <si>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</si>
  <si>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</si>
  <si>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</si>
  <si>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</si>
  <si>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</si>
  <si>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</si>
  <si>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</si>
  <si>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</si>
  <si>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</si>
  <si>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</si>
  <si>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</si>
  <si>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</si>
  <si>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</si>
  <si>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</si>
  <si>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</si>
  <si>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</si>
  <si>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</si>
  <si>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</si>
  <si>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</si>
  <si>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</si>
  <si>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</si>
  <si>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</si>
  <si>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</si>
  <si>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</si>
  <si>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</si>
  <si>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</si>
  <si>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</si>
  <si>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</si>
  <si>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</si>
  <si>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</si>
  <si>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</si>
  <si>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</si>
  <si>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</si>
  <si>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</si>
  <si>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</si>
  <si>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</si>
  <si>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</si>
  <si>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</si>
  <si>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</si>
  <si>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</si>
  <si>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</si>
  <si>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</si>
  <si>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</si>
  <si>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</si>
  <si>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</si>
  <si>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</si>
  <si>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</si>
  <si>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</si>
  <si>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</si>
  <si>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</si>
  <si>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</si>
  <si>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</si>
  <si>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</si>
  <si>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</si>
  <si>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</si>
  <si>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</si>
  <si>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</si>
  <si>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</si>
  <si>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</si>
  <si>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</si>
  <si>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</si>
  <si>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</si>
  <si>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</si>
  <si>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</si>
  <si>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</si>
  <si>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</si>
  <si>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</si>
  <si>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</si>
  <si>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</si>
  <si>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</si>
  <si>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</si>
  <si>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</si>
  <si>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</si>
  <si>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</si>
  <si>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</si>
  <si>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</si>
  <si>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</si>
  <si>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</si>
  <si>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</si>
  <si>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</si>
  <si>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</si>
  <si>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</si>
  <si>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</si>
  <si>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</si>
  <si>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</si>
  <si>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</si>
  <si>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</si>
  <si>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</si>
  <si>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</si>
  <si>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</si>
  <si>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</si>
  <si>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</si>
  <si>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</si>
  <si>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</si>
  <si>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</si>
  <si>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</si>
  <si>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</si>
  <si>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</si>
  <si>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</si>
  <si>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</si>
  <si>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</si>
  <si>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</si>
  <si>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</si>
  <si>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</si>
  <si>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</si>
  <si>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</si>
  <si>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</si>
  <si>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</si>
  <si>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</si>
  <si>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</si>
  <si>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</si>
  <si>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</si>
  <si>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</si>
  <si>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</si>
  <si>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</si>
  <si>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</si>
  <si>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</si>
  <si>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</si>
  <si>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</si>
  <si>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</si>
  <si>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</si>
  <si>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</si>
  <si>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</si>
  <si>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</si>
  <si>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</si>
  <si>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</si>
  <si>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</si>
  <si>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</si>
  <si>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</si>
  <si>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</si>
  <si>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Soil bulk density, puddled surface lyer</t>
  </si>
  <si>
    <t>FL4N</t>
  </si>
  <si>
    <t>Floodwater Ammoniacal N</t>
  </si>
  <si>
    <t>FLUR</t>
  </si>
  <si>
    <t>Floodwater Urea N</t>
  </si>
  <si>
    <t>FDEN</t>
  </si>
  <si>
    <t>Floodwater denitrification date (N)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</si>
  <si>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</si>
  <si>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</si>
  <si>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</si>
  <si>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</si>
  <si>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</si>
  <si>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</si>
  <si>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</si>
  <si>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</si>
  <si>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</si>
  <si>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</si>
  <si>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</si>
  <si>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</si>
  <si>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</si>
  <si>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</si>
  <si>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</si>
  <si>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</si>
  <si>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</si>
  <si>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</si>
  <si>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</si>
  <si>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</si>
  <si>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</si>
  <si>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</si>
  <si>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</si>
  <si>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</si>
  <si>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</si>
  <si>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</si>
  <si>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</si>
  <si>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</si>
  <si>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</si>
  <si>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</si>
  <si>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</si>
  <si>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</si>
  <si>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</si>
  <si>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</si>
  <si>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</si>
  <si>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</si>
  <si>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</si>
  <si>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</si>
  <si>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</si>
  <si>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</si>
  <si>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</si>
  <si>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</si>
  <si>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</si>
  <si>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</si>
  <si>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</si>
  <si>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</si>
  <si>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</si>
  <si>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</si>
  <si>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</si>
  <si>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</si>
  <si>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</si>
  <si>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</si>
  <si>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</si>
  <si>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</si>
  <si>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</si>
  <si>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</si>
  <si>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</si>
  <si>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</si>
  <si>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</si>
  <si>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</si>
  <si>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</si>
  <si>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</si>
  <si>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</si>
  <si>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</si>
  <si>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</si>
  <si>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</si>
  <si>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</si>
  <si>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</si>
  <si>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</si>
  <si>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</si>
  <si>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</si>
  <si>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</si>
  <si>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</si>
  <si>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</si>
  <si>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</si>
  <si>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</si>
  <si>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</si>
  <si>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</si>
  <si>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</si>
  <si>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</si>
  <si>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</si>
  <si>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</si>
  <si>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</si>
  <si>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</si>
  <si>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</si>
  <si>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</si>
  <si>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</si>
  <si>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</si>
  <si>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</si>
  <si>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</si>
  <si>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</si>
  <si>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</si>
  <si>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</si>
  <si>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</si>
  <si>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</si>
  <si>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</si>
  <si>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</si>
  <si>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</si>
  <si>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</si>
  <si>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</si>
  <si>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</si>
  <si>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</si>
  <si>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</si>
  <si>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</si>
  <si>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hr</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</si>
  <si>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</si>
  <si>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</si>
  <si>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</si>
  <si>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</si>
  <si>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</si>
  <si>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</si>
  <si>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</si>
  <si>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</si>
  <si>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</si>
  <si>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</si>
  <si>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</si>
  <si>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</si>
  <si>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</si>
  <si>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</si>
  <si>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</si>
  <si>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</si>
  <si>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</si>
  <si>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</si>
  <si>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</si>
  <si>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</si>
  <si>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</si>
  <si>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</si>
  <si>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</si>
  <si>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</si>
  <si>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</si>
  <si>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</si>
  <si>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</si>
  <si>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</si>
  <si>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</si>
  <si>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</si>
  <si>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</si>
  <si>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</si>
  <si>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</si>
  <si>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</si>
  <si>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</si>
  <si>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</si>
  <si>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</si>
  <si>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</si>
  <si>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</si>
  <si>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</si>
  <si>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</si>
  <si>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</si>
  <si>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</si>
  <si>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</si>
  <si>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</si>
  <si>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</si>
  <si>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</si>
  <si>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</si>
  <si>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</si>
  <si>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</si>
  <si>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</si>
  <si>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</si>
  <si>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</si>
  <si>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</si>
  <si>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</si>
  <si>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</si>
  <si>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</si>
  <si>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</si>
  <si>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</si>
  <si>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</si>
  <si>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</si>
  <si>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</si>
  <si>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</si>
  <si>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</si>
  <si>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</si>
  <si>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</si>
  <si>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Modification notes</t>
  </si>
  <si>
    <t>AgMIP rating (management)</t>
  </si>
  <si>
    <t>AgMIP rating (soil)</t>
  </si>
  <si>
    <t>AgMIP rating (weather)</t>
  </si>
  <si>
    <t>AgMIP rating (measured data)</t>
  </si>
  <si>
    <t>AgMIP rating date (dd/mm/yyyy)</t>
  </si>
  <si>
    <t>AgMIP rater, initials</t>
  </si>
  <si>
    <t>Address</t>
  </si>
  <si>
    <t>Institute ID [select]</t>
  </si>
  <si>
    <t>E-mail address</t>
  </si>
  <si>
    <t>Landwirtschaftliche Lehranstalten</t>
  </si>
  <si>
    <t>Hochschule Weihenstephan-Triesdorf</t>
  </si>
  <si>
    <t>Sebastian</t>
  </si>
  <si>
    <t>Burkart</t>
  </si>
  <si>
    <t>Max</t>
  </si>
  <si>
    <t>Mustermann</t>
  </si>
  <si>
    <t>Patrick</t>
  </si>
  <si>
    <t>Noack</t>
  </si>
  <si>
    <t>O.</t>
  </si>
  <si>
    <t>Bavaria</t>
  </si>
  <si>
    <t>Triesdorf</t>
  </si>
  <si>
    <t>HWTD2401</t>
  </si>
  <si>
    <t>Broca</t>
  </si>
  <si>
    <t>Campesino</t>
  </si>
  <si>
    <t>Seed drill</t>
  </si>
  <si>
    <t>Machinery: Kuhn Venta</t>
  </si>
  <si>
    <t>Winter wheat tillage</t>
  </si>
  <si>
    <t>Spring wheat tillage</t>
  </si>
  <si>
    <t>plot_ID</t>
  </si>
  <si>
    <t>Z1-Saatgut; Anerkennungsnummer DE093-012310501</t>
  </si>
  <si>
    <t>Z1-Saatgut; Anerkennungsnummer DE142-110112</t>
  </si>
  <si>
    <t>Götheweg</t>
  </si>
  <si>
    <t>Grubbern mittel</t>
  </si>
  <si>
    <t>Machinery: Horsch Terano 3FX</t>
  </si>
  <si>
    <t>Winter wheat</t>
  </si>
  <si>
    <t>Spring wheat</t>
  </si>
  <si>
    <t>Unkraut (Ampfer, Vogelmiere,...)</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</si>
  <si>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</si>
  <si>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</si>
  <si>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</si>
  <si>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</si>
  <si>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</si>
  <si>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</si>
  <si>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</si>
  <si>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</si>
  <si>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</si>
  <si>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</si>
  <si>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</si>
  <si>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</si>
  <si>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</si>
  <si>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</si>
  <si>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</si>
  <si>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</si>
  <si>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</si>
  <si>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</si>
  <si>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</si>
  <si>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</si>
  <si>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</si>
  <si>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</si>
  <si>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</si>
  <si>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</si>
  <si>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</si>
  <si>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</si>
  <si>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</si>
  <si>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</si>
  <si>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</si>
  <si>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</si>
  <si>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</si>
  <si>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</si>
  <si>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</si>
  <si>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</si>
  <si>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</si>
  <si>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</si>
  <si>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</si>
  <si>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</si>
  <si>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</si>
  <si>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</si>
  <si>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</si>
  <si>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</si>
  <si>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</si>
  <si>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</si>
  <si>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</si>
  <si>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</si>
  <si>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</si>
  <si>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</si>
  <si>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</si>
  <si>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</si>
  <si>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</si>
  <si>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</si>
  <si>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</si>
  <si>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Weather ZONX, Daily maximum</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</si>
  <si>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</si>
  <si>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</si>
  <si>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</si>
  <si>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</si>
  <si>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</si>
  <si>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</si>
  <si>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</si>
  <si>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</si>
  <si>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</si>
  <si>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</si>
  <si>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</si>
  <si>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</si>
  <si>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</si>
  <si>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</si>
  <si>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</si>
  <si>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</si>
  <si>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</si>
  <si>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</si>
  <si>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</si>
  <si>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</si>
  <si>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</si>
  <si>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</si>
  <si>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</si>
  <si>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</si>
  <si>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</si>
  <si>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Organic N, total (%)</t>
  </si>
  <si>
    <t>P, extractable (mg/kg)</t>
  </si>
  <si>
    <t>P, total (mg/kg)</t>
  </si>
  <si>
    <t>P, organic (mg/kg)</t>
  </si>
  <si>
    <t>P, isotherm A (mmol/kg)</t>
  </si>
  <si>
    <t>P, iostherm B (mmol/l)</t>
  </si>
  <si>
    <t>P, exchangeable (cmol/kg)</t>
  </si>
  <si>
    <t>CaCO3 (g/kg)</t>
  </si>
  <si>
    <t>Ca, exchangeable (cmol/kg)</t>
  </si>
  <si>
    <t>Al (ppm)</t>
  </si>
  <si>
    <t>Fe (ppm)</t>
  </si>
  <si>
    <t>Mg (cmol/kg)</t>
  </si>
  <si>
    <t>Mn (ppb)</t>
  </si>
  <si>
    <t>NH4, KCl extraction (g/Mg)</t>
  </si>
  <si>
    <t>NO3, KCl extraction (g/Mg)</t>
  </si>
  <si>
    <t>Su (ppm)</t>
  </si>
  <si>
    <t>Na (cmol/kg)</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</si>
  <si>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</si>
  <si>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</si>
  <si>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</si>
  <si>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</si>
  <si>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</si>
  <si>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</si>
  <si>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</si>
  <si>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</si>
  <si>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</si>
  <si>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</si>
  <si>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</si>
  <si>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</si>
  <si>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</si>
  <si>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</si>
  <si>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</si>
  <si>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</si>
  <si>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</si>
  <si>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</si>
  <si>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</si>
  <si>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</si>
  <si>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</si>
  <si>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</si>
  <si>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</si>
  <si>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</si>
  <si>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</si>
  <si>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</si>
  <si>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</si>
  <si>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</si>
  <si>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</si>
  <si>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</si>
  <si>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</si>
  <si>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</si>
  <si>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</si>
  <si>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</si>
  <si>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</si>
  <si>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</si>
  <si>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</si>
  <si>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</si>
  <si>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</si>
  <si>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</si>
  <si>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</si>
  <si>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</si>
  <si>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</si>
  <si>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</si>
  <si>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</si>
  <si>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</si>
  <si>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</si>
  <si>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</si>
  <si>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WEAT_OUTPUT</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</si>
  <si>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</si>
  <si>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</si>
  <si>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</si>
  <si>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</si>
  <si>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</si>
  <si>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</si>
  <si>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</si>
  <si>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</si>
  <si>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</si>
  <si>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Weather station ID REDUNDANT</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</si>
  <si>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</si>
  <si>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</si>
  <si>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</si>
  <si>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</si>
  <si>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</si>
  <si>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</si>
  <si>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</si>
  <si>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</si>
  <si>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</si>
  <si>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</si>
  <si>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</si>
  <si>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</si>
  <si>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</si>
  <si>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</si>
  <si>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</si>
  <si>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</si>
  <si>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</si>
  <si>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</si>
  <si>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</si>
  <si>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</si>
  <si>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</si>
  <si>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</si>
  <si>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</si>
  <si>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</si>
  <si>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</si>
  <si>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</si>
  <si>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</si>
  <si>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</si>
  <si>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</si>
  <si>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</si>
  <si>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</si>
  <si>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</si>
  <si>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</si>
  <si>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</si>
  <si>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</si>
  <si>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</si>
  <si>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</si>
  <si>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</si>
  <si>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</si>
  <si>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</si>
  <si>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</si>
  <si>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</si>
  <si>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</si>
  <si>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</si>
  <si>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</si>
  <si>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</si>
  <si>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</si>
  <si>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</si>
  <si>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</si>
  <si>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</si>
  <si>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</si>
  <si>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</si>
  <si>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</si>
  <si>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</si>
  <si>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</si>
  <si>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</si>
  <si>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</si>
  <si>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</si>
  <si>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</si>
  <si>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</si>
  <si>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</si>
  <si>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</si>
  <si>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</si>
  <si>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</si>
  <si>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</si>
  <si>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</si>
  <si>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</si>
  <si>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</si>
  <si>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</si>
  <si>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</si>
  <si>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</si>
  <si>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</si>
  <si>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Experimental metadata</t>
  </si>
  <si>
    <t>Plots</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</si>
  <si>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</si>
  <si>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</si>
  <si>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</si>
  <si>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</si>
  <si>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</si>
  <si>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</si>
  <si>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</si>
  <si>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</si>
  <si>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</si>
  <si>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</si>
  <si>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</si>
  <si>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</si>
  <si>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</si>
  <si>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</si>
  <si>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</si>
  <si>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</si>
  <si>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</si>
  <si>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</si>
  <si>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</si>
  <si>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</si>
  <si>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</si>
  <si>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 xml:space="preserve">Organic Materials: OPTIONAL
Describes organic fertilizer applications. </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</si>
  <si>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</si>
  <si>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</si>
  <si>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</si>
  <si>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</si>
  <si>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</si>
  <si>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</si>
  <si>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</si>
  <si>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</si>
  <si>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</si>
  <si>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</si>
  <si>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</si>
  <si>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</si>
  <si>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</si>
  <si>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</si>
  <si>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</si>
  <si>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</si>
  <si>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</si>
  <si>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</si>
  <si>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</si>
  <si>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</si>
  <si>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</si>
  <si>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</si>
  <si>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Resource type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</si>
  <si>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</si>
  <si>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</si>
  <si>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</si>
  <si>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</si>
  <si>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</si>
  <si>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</si>
  <si>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</si>
  <si>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</si>
  <si>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</si>
  <si>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</si>
  <si>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</si>
  <si>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</si>
  <si>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</si>
  <si>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Initial nitrate mass, dry weight (kg/ha)</t>
  </si>
  <si>
    <t>Initial ammonium mass, dry weight (kg/ha)</t>
  </si>
  <si>
    <t>Irrigated? [select]</t>
  </si>
  <si>
    <t>Fertilized? [select]</t>
  </si>
  <si>
    <t>Comments, plot layout</t>
  </si>
  <si>
    <t>exclude duplicate</t>
  </si>
  <si>
    <t>3 strips, harvested middle strip</t>
  </si>
  <si>
    <t>Plot ID [select]</t>
  </si>
  <si>
    <t>Treatment [autofill]</t>
  </si>
  <si>
    <t>Plot Ids</t>
  </si>
  <si>
    <t>Treatments</t>
  </si>
  <si>
    <t>1 | Campesino - 92 kg[N]/ha</t>
  </si>
  <si>
    <t>2 | Broca - 92 kg[N]/ha</t>
  </si>
  <si>
    <t>4 | Broca - 140 kg[N]/ha</t>
  </si>
  <si>
    <t>3 | Campesino - 140 kg[N]/ha</t>
  </si>
  <si>
    <t>HWTD2401_2_1_1</t>
  </si>
  <si>
    <t>HWTD2401_3_2_1</t>
  </si>
  <si>
    <t>HWTD2401_4_1_1</t>
  </si>
  <si>
    <t>HWTD2401_5_2_1</t>
  </si>
  <si>
    <t>HWTD2401_6_1_1</t>
  </si>
  <si>
    <t>HWTD2401_27_4_1</t>
  </si>
  <si>
    <t>HWTD2401_28_3_1</t>
  </si>
  <si>
    <t>HWTD2401_29_4_1</t>
  </si>
  <si>
    <t>HWTD2401_30_3_1</t>
  </si>
  <si>
    <t>HWTD2401_31_4_1</t>
  </si>
  <si>
    <t>Plot-treatment ID [autofill]</t>
  </si>
  <si>
    <t>HWTD2401_2</t>
  </si>
  <si>
    <t>HWTD2401_3</t>
  </si>
  <si>
    <t>HWTD2401_4</t>
  </si>
  <si>
    <t>HWTD2401_5</t>
  </si>
  <si>
    <t>HWTD2401_6</t>
  </si>
  <si>
    <t>HWTD2401_27</t>
  </si>
  <si>
    <t>HWTD2401_28</t>
  </si>
  <si>
    <t>HWTD2401_29</t>
  </si>
  <si>
    <t>HWTD2401_30</t>
  </si>
  <si>
    <t>HWTD2401_31</t>
  </si>
  <si>
    <t>Plot-treatment ID [autofill-hidden]</t>
  </si>
  <si>
    <t>Observation ID [autofill-hidden]</t>
  </si>
  <si>
    <t>Treatment ID [autofill]</t>
  </si>
  <si>
    <t>Observation number [autofill]</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</si>
  <si>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</si>
  <si>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</si>
  <si>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</si>
  <si>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</si>
  <si>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</si>
  <si>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</si>
  <si>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</si>
  <si>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</si>
  <si>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</si>
  <si>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</si>
  <si>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</si>
  <si>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</si>
  <si>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</si>
  <si>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</si>
  <si>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</si>
  <si>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</si>
  <si>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</si>
  <si>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</si>
  <si>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</si>
  <si>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</si>
  <si>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</si>
  <si>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</si>
  <si>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</si>
  <si>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</si>
  <si>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</si>
  <si>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</si>
  <si>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</si>
  <si>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</si>
  <si>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</si>
  <si>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</si>
  <si>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</si>
  <si>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</si>
  <si>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</si>
  <si>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</si>
  <si>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</si>
  <si>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</si>
  <si>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</si>
  <si>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</si>
  <si>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</si>
  <si>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</si>
  <si>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</si>
  <si>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</si>
  <si>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</si>
  <si>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</si>
  <si>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</si>
  <si>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</si>
  <si>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</si>
  <si>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</si>
  <si>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</si>
  <si>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</si>
  <si>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</si>
  <si>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</si>
  <si>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</si>
  <si>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</si>
  <si>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</si>
  <si>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</si>
  <si>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</si>
  <si>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</si>
  <si>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</si>
  <si>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</si>
  <si>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</si>
  <si>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</si>
  <si>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</si>
  <si>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</si>
  <si>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</si>
  <si>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</si>
  <si>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</si>
  <si>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</si>
  <si>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</si>
  <si>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</si>
  <si>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</si>
  <si>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</si>
  <si>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</si>
  <si>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</si>
  <si>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</si>
  <si>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</si>
  <si>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</si>
  <si>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</si>
  <si>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</si>
  <si>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</si>
  <si>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</si>
  <si>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</si>
  <si>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</si>
  <si>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</si>
  <si>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</si>
  <si>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</si>
  <si>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</si>
  <si>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</si>
  <si>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</si>
  <si>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</si>
  <si>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</si>
  <si>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</si>
  <si>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</si>
  <si>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</si>
  <si>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</si>
  <si>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</si>
  <si>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</si>
  <si>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</si>
  <si>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</si>
  <si>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</si>
  <si>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</si>
  <si>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</si>
  <si>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</si>
  <si>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</si>
  <si>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</si>
  <si>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</si>
  <si>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</si>
  <si>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</si>
  <si>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</si>
  <si>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</si>
  <si>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</si>
  <si>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</si>
  <si>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</si>
  <si>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</si>
  <si>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</si>
  <si>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</si>
  <si>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</si>
  <si>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</si>
  <si>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</si>
  <si>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</si>
  <si>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</si>
  <si>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</si>
  <si>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</si>
  <si>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</si>
  <si>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</si>
  <si>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</si>
  <si>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</si>
  <si>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</si>
  <si>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</si>
  <si>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</si>
  <si>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</si>
  <si>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</si>
  <si>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</si>
  <si>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</si>
  <si>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</si>
  <si>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</si>
  <si>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</si>
  <si>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</si>
  <si>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</si>
  <si>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</si>
  <si>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</si>
  <si>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</si>
  <si>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</si>
  <si>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</si>
  <si>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</si>
  <si>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</si>
  <si>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</si>
  <si>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</si>
  <si>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</si>
  <si>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</si>
  <si>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</si>
  <si>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</si>
  <si>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</si>
  <si>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</si>
  <si>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</si>
  <si>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</si>
  <si>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</si>
  <si>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</si>
  <si>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</si>
  <si>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</si>
  <si>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</si>
  <si>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</si>
  <si>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</si>
  <si>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</si>
  <si>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</si>
  <si>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</si>
  <si>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</si>
  <si>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observation_number</t>
  </si>
  <si>
    <t>Summary, Environment: OPTIONAL
###</t>
  </si>
  <si>
    <t>Summary, Nutrients: OPTIONAL
###</t>
  </si>
  <si>
    <t>Summary, Soils: OPTIONAL
###</t>
  </si>
  <si>
    <t>Summary, Water balance: OPTIONAL
###</t>
  </si>
  <si>
    <t>originally in PLANT_NITROGEN sSubGroup</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</si>
  <si>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</si>
  <si>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</si>
  <si>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</si>
  <si>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</si>
  <si>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</si>
  <si>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</si>
  <si>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</si>
  <si>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</si>
  <si>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</si>
  <si>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</si>
  <si>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</si>
  <si>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</si>
  <si>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</si>
  <si>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</si>
  <si>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</si>
  <si>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</si>
  <si>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</si>
  <si>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</si>
  <si>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</si>
  <si>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</si>
  <si>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</si>
  <si>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</si>
  <si>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</si>
  <si>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</si>
  <si>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</si>
  <si>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</si>
  <si>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WULL7701</t>
  </si>
  <si>
    <t>Experiment type [select]</t>
  </si>
  <si>
    <t>Management type [select]</t>
  </si>
  <si>
    <t>Experiment code, local</t>
  </si>
  <si>
    <t>Experiment name, local</t>
  </si>
  <si>
    <t>ddl_experimentType_sort</t>
  </si>
  <si>
    <t>ddl_managementType_sort</t>
  </si>
  <si>
    <t>Tillering patterns winter wheat</t>
  </si>
  <si>
    <t>Plant density</t>
  </si>
  <si>
    <t>Weather (daily)</t>
  </si>
  <si>
    <t>Darwinkel</t>
  </si>
  <si>
    <t>A.</t>
  </si>
  <si>
    <t>Research Station for Arable Farming and Field Production of Vegetables</t>
  </si>
  <si>
    <t>Now Wageningen University</t>
  </si>
  <si>
    <t>10.18174/njas.v26i4.17081</t>
  </si>
  <si>
    <t>https://wur.on.worldcat.org/oclc/1200349190</t>
  </si>
  <si>
    <t>Patterns of tillering and grain production of winter wheat at a wide range of plant densities</t>
  </si>
  <si>
    <t>Research article</t>
  </si>
  <si>
    <t>Lely</t>
  </si>
  <si>
    <t>Lelystad</t>
  </si>
  <si>
    <t>Field coordinates: research station address; exact field location missing</t>
  </si>
  <si>
    <t>Winter wheat 5 plants/m2</t>
  </si>
  <si>
    <t>Winter wheat 25 plants/m2</t>
  </si>
  <si>
    <t>Winter wheat 50 plants/m2</t>
  </si>
  <si>
    <t>Winter wheat 100 plants/m2</t>
  </si>
  <si>
    <t>Winter wheat 200 plants/m2</t>
  </si>
  <si>
    <t>Winter wheat 400 plants/m2</t>
  </si>
  <si>
    <t>Winter wheat 800 plants/m2</t>
  </si>
  <si>
    <t>Depth: 20-30 mm</t>
  </si>
  <si>
    <t>Frequent application</t>
  </si>
  <si>
    <t>No mineral deficiency (no detail)</t>
  </si>
  <si>
    <t>No disease (no detail)</t>
  </si>
  <si>
    <t>Main harvest</t>
  </si>
  <si>
    <t>Winter wheat - 5 plants/m2</t>
  </si>
  <si>
    <t>Winter wheat - 25 plants/m2</t>
  </si>
  <si>
    <t>Winter wheat - 50 plants/m2</t>
  </si>
  <si>
    <t>Winter wheat - 100 plants/m2</t>
  </si>
  <si>
    <t>Winter wheat - 200 plants/m2</t>
  </si>
  <si>
    <t>Winter wheat - 400 plants/m2</t>
  </si>
  <si>
    <t>Winter wheat - 800 plants/m2</t>
  </si>
  <si>
    <t>1 | Lely</t>
  </si>
  <si>
    <t>1 | Winter wheat 5 plants/m2</t>
  </si>
  <si>
    <t>2 | Winter wheat 25 plants/m2</t>
  </si>
  <si>
    <t>3 | Winter wheat 50 plants/m2</t>
  </si>
  <si>
    <t>4 | Winter wheat 100 plants/m2</t>
  </si>
  <si>
    <t>5 | Winter wheat 200 plants/m2</t>
  </si>
  <si>
    <t>6 | Winter wheat 400 plants/m2</t>
  </si>
  <si>
    <t>7 | Winter wheat 800 plants/m2</t>
  </si>
  <si>
    <t>1 | No mineral deficiency (no detail)</t>
  </si>
  <si>
    <t>1 | No disease (no detail)</t>
  </si>
  <si>
    <t>1 | Main harvest</t>
  </si>
  <si>
    <t>WULL7701_1</t>
  </si>
  <si>
    <t>WULL7701_2</t>
  </si>
  <si>
    <t>WULL7701_3</t>
  </si>
  <si>
    <t>WULL7701_4</t>
  </si>
  <si>
    <t>WULL7701_5</t>
  </si>
  <si>
    <t>WULL7701_6</t>
  </si>
  <si>
    <t>WULL7701_7</t>
  </si>
  <si>
    <t>1 | Winter wheat - 5 plants/m2</t>
  </si>
  <si>
    <t>2 | Winter wheat - 25 plants/m2</t>
  </si>
  <si>
    <t>3 | Winter wheat - 50 plants/m2</t>
  </si>
  <si>
    <t>4 | Winter wheat - 100 plants/m2</t>
  </si>
  <si>
    <t>5 | Winter wheat - 200 plants/m2</t>
  </si>
  <si>
    <t>6 | Winter wheat - 400 plants/m2</t>
  </si>
  <si>
    <t>7 | Winter wheat - 800 plants/m2</t>
  </si>
  <si>
    <t>4 replicates, pooled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</si>
</sst>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F800]dddd\,\ mmmm\ dd\,\ yyyy"/>
  </numFmts>
  <fonts count="31"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theme="1"/>
      <name val="Aptos Narrow"/>
      <family val="2"/>
    </font>
    <font>
      <sz val="10"/>
      <color rgb="FF000000"/>
      <name val="Arial"/>
    </font>
    <font>
      <sz val="10"/>
      <name val="Arial"/>
    </font>
    <font>
      <sz val="11"/>
      <color rgb="FF000000"/>
      <name val="Calibri"/>
    </font>
    <font>
      <sz val="11"/>
      <name val="Aptos Narrow"/>
      <family val="2"/>
      <scheme val="minor"/>
    </font>
    <font>
      <sz val="11"/>
      <color rgb="FF000000"/>
      <name val="Aptos Narrow"/>
      <family val="2"/>
    </font>
    <font>
      <b/>
      <sz val="16"/>
      <color theme="1"/>
      <name val="Aptos Narrow"/>
      <family val="2"/>
      <scheme val="minor"/>
    </font>
  </fonts>
  <fills count="19">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179">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164" fontId="0" fillId="0" borderId="0" xfId="0" applyNumberFormat="1"/>
    <xf numFmtId="1" fontId="0" fillId="0" borderId="0" xfId="0" applyNumberFormat="1"/>
    <xf numFmtId="165" fontId="0" fillId="0" borderId="0" xfId="0" applyNumberFormat="1"/>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3" borderId="1" xfId="0" applyFill="1" applyBorder="1"/>
    <xf numFmtId="0" fontId="0" fillId="7" borderId="1" xfId="0" applyFill="1" applyBorder="1"/>
    <xf numFmtId="0" fontId="4" fillId="7"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0" fillId="9" borderId="0" xfId="0" applyFill="1" applyAlignment="1">
      <alignment horizontal="center" vertical="center"/>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7" fillId="13" borderId="0" xfId="0" applyNumberFormat="1" applyFont="1" applyFill="1" applyAlignment="1">
      <alignment horizontal="center"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1" fontId="5" fillId="4" borderId="0" xfId="0" applyNumberFormat="1" applyFont="1" applyFill="1" applyAlignment="1">
      <alignment horizontal="center" vertical="center"/>
    </xf>
    <xf numFmtId="0" fontId="25" fillId="0" borderId="0" xfId="0" applyFont="1" applyAlignment="1">
      <alignment vertical="center"/>
    </xf>
    <xf numFmtId="0" fontId="26" fillId="0" borderId="0" xfId="0" applyFont="1" applyAlignment="1">
      <alignment vertical="center"/>
    </xf>
    <xf numFmtId="0" fontId="25" fillId="4" borderId="0" xfId="0" applyFont="1" applyFill="1" applyAlignment="1">
      <alignment vertical="center"/>
    </xf>
    <xf numFmtId="0" fontId="25" fillId="0" borderId="0" xfId="0" applyFont="1"/>
    <xf numFmtId="0" fontId="25" fillId="8" borderId="0" xfId="0" applyFont="1" applyFill="1" applyAlignment="1">
      <alignment vertical="center"/>
    </xf>
    <xf numFmtId="0" fontId="26" fillId="0" borderId="0" xfId="0" applyFont="1"/>
    <xf numFmtId="0" fontId="27" fillId="0" borderId="0" xfId="0" applyFont="1"/>
    <xf numFmtId="1" fontId="25" fillId="0" borderId="0" xfId="0" applyNumberFormat="1" applyFont="1" applyAlignment="1">
      <alignment vertical="center"/>
    </xf>
    <xf numFmtId="0" fontId="0" fillId="15" borderId="3" xfId="0" applyFill="1" applyBorder="1"/>
    <xf numFmtId="14" fontId="0" fillId="15" borderId="3" xfId="0" applyNumberFormat="1" applyFill="1" applyBorder="1"/>
    <xf numFmtId="0" fontId="0" fillId="15" borderId="0" xfId="0" applyFill="1"/>
    <xf numFmtId="14" fontId="0" fillId="15" borderId="0" xfId="0" applyNumberFormat="1" applyFill="1"/>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5" fillId="0" borderId="0" xfId="0" applyFont="1" applyAlignment="1">
      <alignment vertical="center" wrapText="1"/>
    </xf>
    <xf numFmtId="0" fontId="1" fillId="0" borderId="0" xfId="0" applyFont="1" applyAlignment="1">
      <alignment vertical="center" wrapText="1"/>
    </xf>
    <xf numFmtId="0" fontId="28" fillId="0" borderId="0" xfId="2" applyFont="1" applyAlignment="1">
      <alignment horizontal="left" vertical="center"/>
    </xf>
    <xf numFmtId="0" fontId="28" fillId="0" borderId="0" xfId="0" applyFont="1"/>
    <xf numFmtId="0" fontId="28" fillId="0" borderId="0" xfId="2" applyFont="1" applyBorder="1" applyAlignment="1">
      <alignment horizontal="left" vertical="center"/>
    </xf>
    <xf numFmtId="0" fontId="28" fillId="0" borderId="1" xfId="0" applyFont="1" applyBorder="1"/>
    <xf numFmtId="0" fontId="28" fillId="0" borderId="1" xfId="2" applyFont="1" applyBorder="1" applyAlignment="1">
      <alignment horizontal="left" vertical="center"/>
    </xf>
    <xf numFmtId="0" fontId="0" fillId="5" borderId="0" xfId="0" applyFill="1" applyAlignment="1">
      <alignment horizont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0" fontId="0" fillId="6" borderId="0" xfId="0" applyFill="1"/>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0" fontId="0" fillId="3" borderId="0" xfId="0"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1" fontId="5" fillId="3" borderId="0" xfId="0" applyNumberFormat="1" applyFont="1" applyFill="1" applyAlignment="1">
      <alignment horizontal="center" vertical="center"/>
    </xf>
    <xf numFmtId="0" fontId="0" fillId="4" borderId="0" xfId="0" applyFill="1" applyAlignment="1">
      <alignment horizontal="center"/>
    </xf>
    <xf numFmtId="0" fontId="0" fillId="3" borderId="0" xfId="0" applyFill="1" applyAlignment="1">
      <alignment horizontal="center"/>
    </xf>
    <xf numFmtId="0" fontId="25" fillId="3" borderId="0" xfId="0" applyFont="1" applyFill="1" applyAlignment="1">
      <alignment vertical="center"/>
    </xf>
    <xf numFmtId="0" fontId="29"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26" fillId="17" borderId="0" xfId="0" applyFont="1" applyFill="1" applyAlignment="1">
      <alignment vertical="center"/>
    </xf>
    <xf numFmtId="0" fontId="26" fillId="8" borderId="0" xfId="0" applyFont="1" applyFill="1" applyAlignment="1">
      <alignment vertical="center"/>
    </xf>
    <xf numFmtId="0" fontId="25" fillId="17" borderId="0" xfId="0" applyFont="1" applyFill="1"/>
    <xf numFmtId="0" fontId="25" fillId="0" borderId="0" xfId="0" applyFont="1" applyAlignment="1">
      <alignment horizontal="left"/>
    </xf>
    <xf numFmtId="0" fontId="17" fillId="13" borderId="0" xfId="0" applyFont="1" applyFill="1" applyAlignment="1">
      <alignment horizontal="center" vertical="center"/>
    </xf>
    <xf numFmtId="1" fontId="25" fillId="0" borderId="0" xfId="0" applyNumberFormat="1" applyFont="1" applyAlignment="1">
      <alignment horizontal="center" vertical="center"/>
    </xf>
    <xf numFmtId="0" fontId="26" fillId="0" borderId="0" xfId="0" applyFont="1" applyAlignment="1">
      <alignment horizontal="center" vertical="center"/>
    </xf>
    <xf numFmtId="0" fontId="0" fillId="5" borderId="0" xfId="0" applyFill="1"/>
    <xf numFmtId="0" fontId="28" fillId="18" borderId="0" xfId="0" applyFont="1" applyFill="1" applyAlignment="1">
      <alignment vertical="center"/>
    </xf>
    <xf numFmtId="0" fontId="3" fillId="18" borderId="0" xfId="0" applyFont="1" applyFill="1" applyAlignment="1">
      <alignment vertical="center"/>
    </xf>
    <xf numFmtId="0" fontId="28" fillId="0" borderId="0" xfId="0" applyFont="1" applyAlignment="1">
      <alignment vertical="center"/>
    </xf>
    <xf numFmtId="0" fontId="16" fillId="17" borderId="0" xfId="0" applyFont="1" applyFill="1" applyAlignment="1">
      <alignment vertical="center"/>
    </xf>
    <xf numFmtId="0" fontId="5" fillId="17" borderId="0" xfId="0" applyFont="1" applyFill="1" applyAlignment="1">
      <alignment vertical="center"/>
    </xf>
    <xf numFmtId="0" fontId="5" fillId="0" borderId="0" xfId="0" applyFont="1" applyAlignment="1">
      <alignment vertical="center" wrapText="1"/>
    </xf>
    <xf numFmtId="0" fontId="16" fillId="0" borderId="0" xfId="0" applyFont="1"/>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0" fontId="16" fillId="3" borderId="0" xfId="0" applyFont="1" applyFill="1" applyAlignment="1">
      <alignment vertical="center"/>
    </xf>
    <xf numFmtId="14" fontId="29" fillId="0" borderId="0" xfId="0" applyNumberFormat="1" applyFont="1"/>
    <xf numFmtId="2" fontId="29" fillId="0" borderId="0" xfId="0" applyNumberFormat="1" applyFont="1"/>
    <xf numFmtId="1" fontId="29" fillId="0" borderId="0" xfId="0" applyNumberFormat="1" applyFont="1"/>
    <xf numFmtId="0" fontId="0" fillId="0" borderId="0" xfId="0" applyAlignment="1">
      <alignment horizontal="left" vertical="center" indent="1"/>
    </xf>
    <xf numFmtId="166" fontId="29" fillId="0" borderId="0" xfId="0" applyNumberFormat="1" applyFont="1"/>
    <xf numFmtId="0" fontId="30"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xf numFmtId="0" fontId="0" fillId="4" borderId="2" xfId="0" applyFill="1" applyBorder="1" applyAlignment="1">
      <alignment horizontal="left" vertical="center" wrapText="1"/>
    </xf>
    <xf numFmtId="0" fontId="0" fillId="4" borderId="2" xfId="0" applyFill="1" applyBorder="1" applyAlignment="1">
      <alignment vertical="center" wrapText="1"/>
    </xf>
    <xf numFmtId="0" fontId="0" fillId="5" borderId="2" xfId="0" applyFill="1" applyBorder="1" applyAlignment="1">
      <alignment horizontal="left" vertical="center" wrapText="1"/>
    </xf>
    <xf numFmtId="0" fontId="1" fillId="0" borderId="0" xfId="0" applyFont="1" applyAlignment="1">
      <alignment horizontal="left" vertical="center"/>
    </xf>
    <xf numFmtId="0" fontId="0" fillId="5" borderId="2" xfId="0" applyFill="1" applyBorder="1" applyAlignment="1">
      <alignment vertical="center" wrapText="1"/>
    </xf>
    <xf numFmtId="0" fontId="0" fillId="5" borderId="2" xfId="0" applyFill="1" applyBorder="1" applyAlignment="1">
      <alignment vertical="center"/>
    </xf>
    <xf numFmtId="0" fontId="0" fillId="16" borderId="2" xfId="0" applyFill="1" applyBorder="1" applyAlignment="1">
      <alignment horizontal="left" vertical="center" wrapText="1"/>
    </xf>
    <xf numFmtId="0" fontId="0" fillId="16" borderId="2" xfId="0" applyFill="1" applyBorder="1" applyAlignment="1">
      <alignment vertical="center" wrapText="1"/>
    </xf>
    <xf numFmtId="0" fontId="0" fillId="0" borderId="2" xfId="0" applyFill="1" applyBorder="1" applyAlignment="1">
      <alignment horizontal="left" vertical="center" wrapText="1"/>
    </xf>
    <xf numFmtId="0" fontId="0" fillId="0" borderId="0" xfId="0" applyNumberFormat="1" applyFont="1" applyAlignment="1"/>
    <xf numFmtId="0" fontId="0" fillId="0" borderId="0" xfId="0" applyNumberFormat="1"/>
    <xf numFmtId="0" fontId="0" fillId="0" borderId="0" xfId="0" applyAlignment="1"/>
    <xf numFmtId="0" fontId="29" fillId="0" borderId="0" xfId="0" applyNumberFormat="1" applyFont="1"/>
  </cellXfs>
  <cellStyles count="3">
    <cellStyle name="Hyperlink" xfId="2" builtinId="8"/>
    <cellStyle name="Normal" xfId="0" builtinId="0"/>
    <cellStyle name="Normal 2" xfId="1" xr:uid="{13DA2DDC-7691-499E-A9BC-7741E7D51125}"/>
  </cellStyles>
  <dxfs count="27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alignment horizontal="left" vertical="center"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left" vertical="center" textRotation="0" wrapText="0" indent="0" justifyLastLine="0" shrinkToFit="0" readingOrder="0"/>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 formatCode="0"/>
    </dxf>
    <dxf>
      <font>
        <b val="0"/>
      </font>
      <numFmt numFmtId="166" formatCode="[$-F800]dddd\,\ mmmm\ dd\,\ yyyy"/>
    </dxf>
    <dxf>
      <font>
        <b val="0"/>
      </font>
      <numFmt numFmtId="2" formatCode="0.00"/>
    </dxf>
    <dxf>
      <font>
        <b val="0"/>
      </font>
      <numFmt numFmtId="0" formatCode="General"/>
    </dxf>
    <dxf>
      <font>
        <b val="0"/>
        <i val="0"/>
        <strike val="0"/>
        <condense val="0"/>
        <extend val="0"/>
        <outline val="0"/>
        <shadow val="0"/>
        <u val="none"/>
        <vertAlign val="baseline"/>
        <sz val="11"/>
        <color rgb="FF000000"/>
        <name val="Aptos Narrow"/>
        <family val="2"/>
        <scheme val="none"/>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color rgb="FF00000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color rgb="FF00000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color rgb="FF00000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color rgb="FF00000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val="0"/>
      </font>
    </dxf>
    <dxf>
      <font>
        <b val="0"/>
      </font>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border outline="0">
        <top style="thin">
          <color indexed="64"/>
        </top>
      </border>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19" formatCode="dd/mm/yyyy"/>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19" formatCode="dd/mm/yyyy"/>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border outline="0">
        <top style="thin">
          <color indexed="64"/>
        </top>
      </border>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0" formatCode="General"/>
      <alignment horizontal="general" vertical="bottom" textRotation="0" wrapText="0" indent="0" justifyLastLine="0" shrinkToFit="0" readingOrder="0"/>
    </dxf>
    <dxf>
      <font>
        <strike val="0"/>
        <outline val="0"/>
        <shadow val="0"/>
        <u val="none"/>
        <vertAlign val="baseline"/>
        <name val="Aptos Narrow"/>
        <family val="2"/>
        <scheme val="minor"/>
      </font>
      <numFmt numFmtId="0" formatCode="General"/>
      <alignment horizontal="general" vertical="bottom" textRotation="0" wrapText="0" indent="0" justifyLastLine="0" shrinkToFit="0" readingOrder="0"/>
    </dxf>
    <dxf>
      <font>
        <strike val="0"/>
        <outline val="0"/>
        <shadow val="0"/>
        <u val="none"/>
        <vertAlign val="baseline"/>
        <name val="Aptos Narrow"/>
        <family val="2"/>
        <scheme val="minor"/>
      </font>
      <numFmt numFmtId="0" formatCode="General"/>
      <alignment horizontal="general" vertical="bottom" textRotation="0" wrapText="0" indent="0" justifyLastLine="0" shrinkToFit="0" readingOrder="0"/>
    </dxf>
    <dxf>
      <font>
        <strike val="0"/>
        <outline val="0"/>
        <shadow val="0"/>
        <u val="none"/>
        <vertAlign val="baseline"/>
        <name val="Aptos Narrow"/>
        <family val="2"/>
        <scheme val="minor"/>
      </font>
      <numFmt numFmtId="0" formatCode="General"/>
      <alignment horizontal="general" vertical="bottom" textRotation="0" wrapText="0" indent="0" justifyLastLine="0" shrinkToFit="0" readingOrder="0"/>
    </dxf>
    <dxf>
      <font>
        <strike val="0"/>
        <outline val="0"/>
        <shadow val="0"/>
        <u val="none"/>
        <vertAlign val="baseline"/>
        <name val="Aptos Narrow"/>
        <family val="2"/>
        <scheme val="minor"/>
      </font>
      <numFmt numFmtId="0" formatCode="General"/>
      <alignment horizontal="general"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microsoft.com/office/2017/06/relationships/rdRichValue" Target="richData/rdrichvalue.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8"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17/06/relationships/rdRichValueStructure" Target="richData/rdrichvaluestructure.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17/06/relationships/rdRichValueTypes" Target="richData/rdRichValueTyp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7</xdr:row>
          <xdr:rowOff>19050</xdr:rowOff>
        </xdr:from>
        <xdr:to>
          <xdr:col>4</xdr:col>
          <xdr:colOff>95250</xdr:colOff>
          <xdr:row>7</xdr:row>
          <xdr:rowOff>28575</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657023</xdr:colOff>
      <xdr:row>0</xdr:row>
      <xdr:rowOff>1423386</xdr:rowOff>
    </xdr:from>
    <xdr:to>
      <xdr:col>2</xdr:col>
      <xdr:colOff>453823</xdr:colOff>
      <xdr:row>0</xdr:row>
      <xdr:rowOff>1766286</xdr:rowOff>
    </xdr:to>
    <xdr:sp macro="[0]!ShowColumnSelector" textlink="">
      <xdr:nvSpPr>
        <xdr:cNvPr id="2" name="Rectangle: Rounded Corners 1">
          <a:extLst>
            <a:ext uri="{FF2B5EF4-FFF2-40B4-BE49-F238E27FC236}">
              <a16:creationId xmlns:a16="http://schemas.microsoft.com/office/drawing/2014/main" id="{DEB7D22E-ABA0-4B9E-A9FD-6FA207556B1D}"/>
            </a:ext>
          </a:extLst>
        </xdr:cNvPr>
        <xdr:cNvSpPr/>
      </xdr:nvSpPr>
      <xdr:spPr>
        <a:xfrm>
          <a:off x="1571423" y="142338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104775</xdr:colOff>
      <xdr:row>0</xdr:row>
      <xdr:rowOff>1419225</xdr:rowOff>
    </xdr:from>
    <xdr:to>
      <xdr:col>0</xdr:col>
      <xdr:colOff>674046</xdr:colOff>
      <xdr:row>0</xdr:row>
      <xdr:rowOff>1766109</xdr:rowOff>
    </xdr:to>
    <xdr:sp macro="[0]!GoToFirstSheet" textlink="">
      <xdr:nvSpPr>
        <xdr:cNvPr id="5" name="Rectangle: Rounded Corners 4">
          <a:extLst>
            <a:ext uri="{FF2B5EF4-FFF2-40B4-BE49-F238E27FC236}">
              <a16:creationId xmlns:a16="http://schemas.microsoft.com/office/drawing/2014/main" id="{D786BD03-3D43-4E60-9DF4-84D4FED33862}"/>
            </a:ext>
          </a:extLst>
        </xdr:cNvPr>
        <xdr:cNvSpPr/>
      </xdr:nvSpPr>
      <xdr:spPr>
        <a:xfrm>
          <a:off x="104775" y="141922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238125</xdr:colOff>
      <xdr:row>0</xdr:row>
      <xdr:rowOff>1419225</xdr:rowOff>
    </xdr:from>
    <xdr:to>
      <xdr:col>1</xdr:col>
      <xdr:colOff>590550</xdr:colOff>
      <xdr:row>0</xdr:row>
      <xdr:rowOff>1766109</xdr:rowOff>
    </xdr:to>
    <xdr:sp macro="[0]!GoToNextSheet" textlink="">
      <xdr:nvSpPr>
        <xdr:cNvPr id="4" name="Rectangle: Rounded Corners 3">
          <a:extLst>
            <a:ext uri="{FF2B5EF4-FFF2-40B4-BE49-F238E27FC236}">
              <a16:creationId xmlns:a16="http://schemas.microsoft.com/office/drawing/2014/main" id="{4B02607E-F3BE-4239-A09D-3CF4C154CC6A}"/>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742950</xdr:colOff>
      <xdr:row>0</xdr:row>
      <xdr:rowOff>1419225</xdr:rowOff>
    </xdr:from>
    <xdr:to>
      <xdr:col>1</xdr:col>
      <xdr:colOff>180975</xdr:colOff>
      <xdr:row>0</xdr:row>
      <xdr:rowOff>1766109</xdr:rowOff>
    </xdr:to>
    <xdr:sp macro="[0]!GoToPreviousSheet" textlink="">
      <xdr:nvSpPr>
        <xdr:cNvPr id="6" name="Rectangle: Rounded Corners 5">
          <a:extLst>
            <a:ext uri="{FF2B5EF4-FFF2-40B4-BE49-F238E27FC236}">
              <a16:creationId xmlns:a16="http://schemas.microsoft.com/office/drawing/2014/main" id="{15140D99-BF8C-425F-80A6-B48532B203EF}"/>
            </a:ext>
          </a:extLst>
        </xdr:cNvPr>
        <xdr:cNvSpPr/>
      </xdr:nvSpPr>
      <xdr:spPr>
        <a:xfrm>
          <a:off x="742950"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676073</xdr:colOff>
      <xdr:row>0</xdr:row>
      <xdr:rowOff>1432911</xdr:rowOff>
    </xdr:from>
    <xdr:to>
      <xdr:col>2</xdr:col>
      <xdr:colOff>1139623</xdr:colOff>
      <xdr:row>0</xdr:row>
      <xdr:rowOff>1775811</xdr:rowOff>
    </xdr:to>
    <xdr:sp macro="[0]!ShowColumnSelector" textlink="">
      <xdr:nvSpPr>
        <xdr:cNvPr id="2" name="Rectangle: Rounded Corners 1">
          <a:extLst>
            <a:ext uri="{FF2B5EF4-FFF2-40B4-BE49-F238E27FC236}">
              <a16:creationId xmlns:a16="http://schemas.microsoft.com/office/drawing/2014/main" id="{4104D216-2D67-4225-97C5-97B2EC60E167}"/>
            </a:ext>
          </a:extLst>
        </xdr:cNvPr>
        <xdr:cNvSpPr/>
      </xdr:nvSpPr>
      <xdr:spPr>
        <a:xfrm>
          <a:off x="1590473" y="143291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10</xdr:col>
      <xdr:colOff>0</xdr:colOff>
      <xdr:row>0</xdr:row>
      <xdr:rowOff>1430371</xdr:rowOff>
    </xdr:from>
    <xdr:to>
      <xdr:col>10</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1428750</xdr:rowOff>
    </xdr:from>
    <xdr:to>
      <xdr:col>0</xdr:col>
      <xdr:colOff>693096</xdr:colOff>
      <xdr:row>0</xdr:row>
      <xdr:rowOff>1775634</xdr:rowOff>
    </xdr:to>
    <xdr:sp macro="[0]!GoToFirstSheet" textlink="">
      <xdr:nvSpPr>
        <xdr:cNvPr id="5" name="Rectangle: Rounded Corners 4">
          <a:extLst>
            <a:ext uri="{FF2B5EF4-FFF2-40B4-BE49-F238E27FC236}">
              <a16:creationId xmlns:a16="http://schemas.microsoft.com/office/drawing/2014/main" id="{1E938EAA-FDB5-44E6-83C6-74E31C6A4538}"/>
            </a:ext>
          </a:extLst>
        </xdr:cNvPr>
        <xdr:cNvSpPr/>
      </xdr:nvSpPr>
      <xdr:spPr>
        <a:xfrm>
          <a:off x="123825" y="142875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257175</xdr:colOff>
      <xdr:row>0</xdr:row>
      <xdr:rowOff>1428750</xdr:rowOff>
    </xdr:from>
    <xdr:to>
      <xdr:col>1</xdr:col>
      <xdr:colOff>609600</xdr:colOff>
      <xdr:row>0</xdr:row>
      <xdr:rowOff>1775634</xdr:rowOff>
    </xdr:to>
    <xdr:sp macro="[0]!GoToNextSheet" textlink="">
      <xdr:nvSpPr>
        <xdr:cNvPr id="4" name="Rectangle: Rounded Corners 3">
          <a:extLst>
            <a:ext uri="{FF2B5EF4-FFF2-40B4-BE49-F238E27FC236}">
              <a16:creationId xmlns:a16="http://schemas.microsoft.com/office/drawing/2014/main" id="{9E9C873A-5327-432B-93A1-FB52950FCDE4}"/>
            </a:ext>
          </a:extLst>
        </xdr:cNvPr>
        <xdr:cNvSpPr/>
      </xdr:nvSpPr>
      <xdr:spPr>
        <a:xfrm>
          <a:off x="1171575"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1428750</xdr:rowOff>
    </xdr:from>
    <xdr:to>
      <xdr:col>1</xdr:col>
      <xdr:colOff>200025</xdr:colOff>
      <xdr:row>0</xdr:row>
      <xdr:rowOff>1775634</xdr:rowOff>
    </xdr:to>
    <xdr:sp macro="[0]!GoToPreviousSheet" textlink="">
      <xdr:nvSpPr>
        <xdr:cNvPr id="8" name="Rectangle: Rounded Corners 7">
          <a:extLst>
            <a:ext uri="{FF2B5EF4-FFF2-40B4-BE49-F238E27FC236}">
              <a16:creationId xmlns:a16="http://schemas.microsoft.com/office/drawing/2014/main" id="{0CB04D67-5F17-4B94-8CD5-F6240193C7B6}"/>
            </a:ext>
          </a:extLst>
        </xdr:cNvPr>
        <xdr:cNvSpPr/>
      </xdr:nvSpPr>
      <xdr:spPr>
        <a:xfrm>
          <a:off x="76200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676073</xdr:colOff>
      <xdr:row>0</xdr:row>
      <xdr:rowOff>1432911</xdr:rowOff>
    </xdr:from>
    <xdr:to>
      <xdr:col>2</xdr:col>
      <xdr:colOff>1139623</xdr:colOff>
      <xdr:row>0</xdr:row>
      <xdr:rowOff>1775811</xdr:rowOff>
    </xdr:to>
    <xdr:sp macro="[0]!ShowColumnSelector" textlink="">
      <xdr:nvSpPr>
        <xdr:cNvPr id="2" name="Rectangle: Rounded Corners 1">
          <a:extLst>
            <a:ext uri="{FF2B5EF4-FFF2-40B4-BE49-F238E27FC236}">
              <a16:creationId xmlns:a16="http://schemas.microsoft.com/office/drawing/2014/main" id="{52E97E00-D422-44FF-842A-CCFC1979C8FE}"/>
            </a:ext>
          </a:extLst>
        </xdr:cNvPr>
        <xdr:cNvSpPr/>
      </xdr:nvSpPr>
      <xdr:spPr>
        <a:xfrm>
          <a:off x="1590473" y="143291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1430371</xdr:rowOff>
    </xdr:from>
    <xdr:to>
      <xdr:col>1</xdr:col>
      <xdr:colOff>609398</xdr:colOff>
      <xdr:row>0</xdr:row>
      <xdr:rowOff>1777255</xdr:rowOff>
    </xdr:to>
    <xdr:sp macro="[0]!GoToNextSheet" textlink="">
      <xdr:nvSpPr>
        <xdr:cNvPr id="3" name="Rectangle: Rounded Corners 2">
          <a:extLst>
            <a:ext uri="{FF2B5EF4-FFF2-40B4-BE49-F238E27FC236}">
              <a16:creationId xmlns:a16="http://schemas.microsoft.com/office/drawing/2014/main" id="{BB1AA5D3-2D53-49F8-B38A-E72D3022DBBA}"/>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1430371</xdr:rowOff>
    </xdr:from>
    <xdr:to>
      <xdr:col>1</xdr:col>
      <xdr:colOff>199823</xdr:colOff>
      <xdr:row>0</xdr:row>
      <xdr:rowOff>1777255</xdr:rowOff>
    </xdr:to>
    <xdr:sp macro="[0]!GoToPreviousSheet" textlink="">
      <xdr:nvSpPr>
        <xdr:cNvPr id="4" name="Rectangle: Rounded Corners 3">
          <a:extLst>
            <a:ext uri="{FF2B5EF4-FFF2-40B4-BE49-F238E27FC236}">
              <a16:creationId xmlns:a16="http://schemas.microsoft.com/office/drawing/2014/main" id="{2C6B075B-86B0-49D6-8A9D-598CD8423370}"/>
            </a:ext>
          </a:extLst>
        </xdr:cNvPr>
        <xdr:cNvSpPr/>
      </xdr:nvSpPr>
      <xdr:spPr>
        <a:xfrm>
          <a:off x="761798"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1428750</xdr:rowOff>
    </xdr:from>
    <xdr:to>
      <xdr:col>0</xdr:col>
      <xdr:colOff>693096</xdr:colOff>
      <xdr:row>0</xdr:row>
      <xdr:rowOff>1775634</xdr:rowOff>
    </xdr:to>
    <xdr:sp macro="[0]!GoToFirstSheet" textlink="">
      <xdr:nvSpPr>
        <xdr:cNvPr id="5" name="Rectangle: Rounded Corners 4">
          <a:extLst>
            <a:ext uri="{FF2B5EF4-FFF2-40B4-BE49-F238E27FC236}">
              <a16:creationId xmlns:a16="http://schemas.microsoft.com/office/drawing/2014/main" id="{2A1701ED-9653-4E4A-9DEF-24AD14C7156A}"/>
            </a:ext>
          </a:extLst>
        </xdr:cNvPr>
        <xdr:cNvSpPr/>
      </xdr:nvSpPr>
      <xdr:spPr>
        <a:xfrm>
          <a:off x="123825" y="142875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695123</xdr:colOff>
      <xdr:row>0</xdr:row>
      <xdr:rowOff>1451961</xdr:rowOff>
    </xdr:from>
    <xdr:to>
      <xdr:col>2</xdr:col>
      <xdr:colOff>1158673</xdr:colOff>
      <xdr:row>0</xdr:row>
      <xdr:rowOff>1794861</xdr:rowOff>
    </xdr:to>
    <xdr:sp macro="[0]!ShowColumnSelector" textlink="">
      <xdr:nvSpPr>
        <xdr:cNvPr id="2" name="Rectangle: Rounded Corners 1">
          <a:extLst>
            <a:ext uri="{FF2B5EF4-FFF2-40B4-BE49-F238E27FC236}">
              <a16:creationId xmlns:a16="http://schemas.microsoft.com/office/drawing/2014/main" id="{7A048E91-702F-4CCF-AE74-67619A769E31}"/>
            </a:ext>
          </a:extLst>
        </xdr:cNvPr>
        <xdr:cNvSpPr/>
      </xdr:nvSpPr>
      <xdr:spPr>
        <a:xfrm>
          <a:off x="160952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1449421</xdr:rowOff>
    </xdr:from>
    <xdr:to>
      <xdr:col>1</xdr:col>
      <xdr:colOff>628448</xdr:colOff>
      <xdr:row>0</xdr:row>
      <xdr:rowOff>1796305</xdr:rowOff>
    </xdr:to>
    <xdr:sp macro="[0]!GoToNextSheet" textlink="">
      <xdr:nvSpPr>
        <xdr:cNvPr id="3" name="Rectangle: Rounded Corners 2">
          <a:extLst>
            <a:ext uri="{FF2B5EF4-FFF2-40B4-BE49-F238E27FC236}">
              <a16:creationId xmlns:a16="http://schemas.microsoft.com/office/drawing/2014/main" id="{40C6FBD0-D728-41F7-A7E0-2D1CB6B63FB7}"/>
            </a:ext>
          </a:extLst>
        </xdr:cNvPr>
        <xdr:cNvSpPr/>
      </xdr:nvSpPr>
      <xdr:spPr>
        <a:xfrm>
          <a:off x="119042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1449421</xdr:rowOff>
    </xdr:from>
    <xdr:to>
      <xdr:col>1</xdr:col>
      <xdr:colOff>218873</xdr:colOff>
      <xdr:row>0</xdr:row>
      <xdr:rowOff>1796305</xdr:rowOff>
    </xdr:to>
    <xdr:sp macro="[0]!GoToPreviousSheet" textlink="">
      <xdr:nvSpPr>
        <xdr:cNvPr id="4" name="Rectangle: Rounded Corners 3">
          <a:extLst>
            <a:ext uri="{FF2B5EF4-FFF2-40B4-BE49-F238E27FC236}">
              <a16:creationId xmlns:a16="http://schemas.microsoft.com/office/drawing/2014/main" id="{2D4A9CBE-C9B6-4A6B-8619-2423A3D3058D}"/>
            </a:ext>
          </a:extLst>
        </xdr:cNvPr>
        <xdr:cNvSpPr/>
      </xdr:nvSpPr>
      <xdr:spPr>
        <a:xfrm>
          <a:off x="78084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1447800</xdr:rowOff>
    </xdr:from>
    <xdr:to>
      <xdr:col>0</xdr:col>
      <xdr:colOff>712146</xdr:colOff>
      <xdr:row>0</xdr:row>
      <xdr:rowOff>1794684</xdr:rowOff>
    </xdr:to>
    <xdr:sp macro="[0]!GoToFirstSheet" textlink="">
      <xdr:nvSpPr>
        <xdr:cNvPr id="5" name="Rectangle: Rounded Corners 4">
          <a:extLst>
            <a:ext uri="{FF2B5EF4-FFF2-40B4-BE49-F238E27FC236}">
              <a16:creationId xmlns:a16="http://schemas.microsoft.com/office/drawing/2014/main" id="{F838D034-D5CE-4A49-B0B1-3888CD0CFD97}"/>
            </a:ext>
          </a:extLst>
        </xdr:cNvPr>
        <xdr:cNvSpPr/>
      </xdr:nvSpPr>
      <xdr:spPr>
        <a:xfrm>
          <a:off x="14287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657023</xdr:colOff>
      <xdr:row>0</xdr:row>
      <xdr:rowOff>1451961</xdr:rowOff>
    </xdr:from>
    <xdr:to>
      <xdr:col>2</xdr:col>
      <xdr:colOff>1120573</xdr:colOff>
      <xdr:row>0</xdr:row>
      <xdr:rowOff>1794861</xdr:rowOff>
    </xdr:to>
    <xdr:sp macro="[0]!ShowColumnSelector" textlink="">
      <xdr:nvSpPr>
        <xdr:cNvPr id="2" name="Rectangle: Rounded Corners 1">
          <a:extLst>
            <a:ext uri="{FF2B5EF4-FFF2-40B4-BE49-F238E27FC236}">
              <a16:creationId xmlns:a16="http://schemas.microsoft.com/office/drawing/2014/main" id="{F5228441-3EDF-4647-BB3C-6D70A0D408AA}"/>
            </a:ext>
          </a:extLst>
        </xdr:cNvPr>
        <xdr:cNvSpPr/>
      </xdr:nvSpPr>
      <xdr:spPr>
        <a:xfrm>
          <a:off x="157142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237923</xdr:colOff>
      <xdr:row>0</xdr:row>
      <xdr:rowOff>1449421</xdr:rowOff>
    </xdr:from>
    <xdr:to>
      <xdr:col>1</xdr:col>
      <xdr:colOff>590348</xdr:colOff>
      <xdr:row>0</xdr:row>
      <xdr:rowOff>1796305</xdr:rowOff>
    </xdr:to>
    <xdr:sp macro="[0]!GoToNextSheet" textlink="">
      <xdr:nvSpPr>
        <xdr:cNvPr id="3" name="Rectangle: Rounded Corners 2">
          <a:extLst>
            <a:ext uri="{FF2B5EF4-FFF2-40B4-BE49-F238E27FC236}">
              <a16:creationId xmlns:a16="http://schemas.microsoft.com/office/drawing/2014/main" id="{AFCA3008-12E7-469B-B794-A8D3D7900C38}"/>
            </a:ext>
          </a:extLst>
        </xdr:cNvPr>
        <xdr:cNvSpPr/>
      </xdr:nvSpPr>
      <xdr:spPr>
        <a:xfrm>
          <a:off x="115232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742748</xdr:colOff>
      <xdr:row>0</xdr:row>
      <xdr:rowOff>1449421</xdr:rowOff>
    </xdr:from>
    <xdr:to>
      <xdr:col>1</xdr:col>
      <xdr:colOff>180773</xdr:colOff>
      <xdr:row>0</xdr:row>
      <xdr:rowOff>1796305</xdr:rowOff>
    </xdr:to>
    <xdr:sp macro="[0]!GoToPreviousSheet" textlink="">
      <xdr:nvSpPr>
        <xdr:cNvPr id="4" name="Rectangle: Rounded Corners 3">
          <a:extLst>
            <a:ext uri="{FF2B5EF4-FFF2-40B4-BE49-F238E27FC236}">
              <a16:creationId xmlns:a16="http://schemas.microsoft.com/office/drawing/2014/main" id="{FBD77441-A1B2-4E63-8A3E-3E6D25F07A63}"/>
            </a:ext>
          </a:extLst>
        </xdr:cNvPr>
        <xdr:cNvSpPr/>
      </xdr:nvSpPr>
      <xdr:spPr>
        <a:xfrm>
          <a:off x="74274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104775</xdr:colOff>
      <xdr:row>0</xdr:row>
      <xdr:rowOff>1447800</xdr:rowOff>
    </xdr:from>
    <xdr:to>
      <xdr:col>0</xdr:col>
      <xdr:colOff>674046</xdr:colOff>
      <xdr:row>0</xdr:row>
      <xdr:rowOff>1794684</xdr:rowOff>
    </xdr:to>
    <xdr:sp macro="[0]!GoToFirstSheet" textlink="">
      <xdr:nvSpPr>
        <xdr:cNvPr id="5" name="Rectangle: Rounded Corners 4">
          <a:extLst>
            <a:ext uri="{FF2B5EF4-FFF2-40B4-BE49-F238E27FC236}">
              <a16:creationId xmlns:a16="http://schemas.microsoft.com/office/drawing/2014/main" id="{FDFC1A21-2824-47F0-AAF6-F118A202898F}"/>
            </a:ext>
          </a:extLst>
        </xdr:cNvPr>
        <xdr:cNvSpPr/>
      </xdr:nvSpPr>
      <xdr:spPr>
        <a:xfrm>
          <a:off x="10477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647700</xdr:colOff>
      <xdr:row>0</xdr:row>
      <xdr:rowOff>1435100</xdr:rowOff>
    </xdr:from>
    <xdr:to>
      <xdr:col>2</xdr:col>
      <xdr:colOff>1044575</xdr:colOff>
      <xdr:row>0</xdr:row>
      <xdr:rowOff>1778000</xdr:rowOff>
    </xdr:to>
    <xdr:sp macro="[0]!ShowColumnSelector" textlink="">
      <xdr:nvSpPr>
        <xdr:cNvPr id="2" name="Rectangle: Rounded Corners 1">
          <a:extLst>
            <a:ext uri="{FF2B5EF4-FFF2-40B4-BE49-F238E27FC236}">
              <a16:creationId xmlns:a16="http://schemas.microsoft.com/office/drawing/2014/main" id="{03945DDB-573A-CE28-3979-0409860203FD}"/>
            </a:ext>
          </a:extLst>
        </xdr:cNvPr>
        <xdr:cNvSpPr/>
      </xdr:nvSpPr>
      <xdr:spPr>
        <a:xfrm>
          <a:off x="1562100" y="1435100"/>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228600</xdr:colOff>
      <xdr:row>0</xdr:row>
      <xdr:rowOff>1432560</xdr:rowOff>
    </xdr:from>
    <xdr:to>
      <xdr:col>1</xdr:col>
      <xdr:colOff>581025</xdr:colOff>
      <xdr:row>0</xdr:row>
      <xdr:rowOff>1779444</xdr:rowOff>
    </xdr:to>
    <xdr:sp macro="[0]!GoToNextSheet" textlink="">
      <xdr:nvSpPr>
        <xdr:cNvPr id="3" name="Rectangle: Rounded Corners 2">
          <a:extLst>
            <a:ext uri="{FF2B5EF4-FFF2-40B4-BE49-F238E27FC236}">
              <a16:creationId xmlns:a16="http://schemas.microsoft.com/office/drawing/2014/main" id="{33A139FC-680E-DC25-36D0-8612A52C662F}"/>
            </a:ext>
          </a:extLst>
        </xdr:cNvPr>
        <xdr:cNvSpPr/>
      </xdr:nvSpPr>
      <xdr:spPr>
        <a:xfrm>
          <a:off x="1143000" y="143256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733425</xdr:colOff>
      <xdr:row>0</xdr:row>
      <xdr:rowOff>1432560</xdr:rowOff>
    </xdr:from>
    <xdr:to>
      <xdr:col>1</xdr:col>
      <xdr:colOff>171450</xdr:colOff>
      <xdr:row>0</xdr:row>
      <xdr:rowOff>1779444</xdr:rowOff>
    </xdr:to>
    <xdr:sp macro="[0]!GoToPreviousSheet" textlink="">
      <xdr:nvSpPr>
        <xdr:cNvPr id="4" name="Rectangle: Rounded Corners 3">
          <a:extLst>
            <a:ext uri="{FF2B5EF4-FFF2-40B4-BE49-F238E27FC236}">
              <a16:creationId xmlns:a16="http://schemas.microsoft.com/office/drawing/2014/main" id="{27A40DB9-F906-4E38-8A0F-D1167965D3E1}"/>
            </a:ext>
          </a:extLst>
        </xdr:cNvPr>
        <xdr:cNvSpPr/>
      </xdr:nvSpPr>
      <xdr:spPr>
        <a:xfrm>
          <a:off x="733425" y="143256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95452</xdr:colOff>
      <xdr:row>0</xdr:row>
      <xdr:rowOff>1430939</xdr:rowOff>
    </xdr:from>
    <xdr:to>
      <xdr:col>0</xdr:col>
      <xdr:colOff>664723</xdr:colOff>
      <xdr:row>0</xdr:row>
      <xdr:rowOff>1777823</xdr:rowOff>
    </xdr:to>
    <xdr:sp macro="[0]!GoToFirstSheet" textlink="">
      <xdr:nvSpPr>
        <xdr:cNvPr id="5" name="Rectangle: Rounded Corners 4">
          <a:extLst>
            <a:ext uri="{FF2B5EF4-FFF2-40B4-BE49-F238E27FC236}">
              <a16:creationId xmlns:a16="http://schemas.microsoft.com/office/drawing/2014/main" id="{EBA4855B-96F2-40BB-ADC1-B32CAB0709DF}"/>
            </a:ext>
          </a:extLst>
        </xdr:cNvPr>
        <xdr:cNvSpPr/>
      </xdr:nvSpPr>
      <xdr:spPr>
        <a:xfrm>
          <a:off x="95452" y="1430939"/>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657023</xdr:colOff>
      <xdr:row>0</xdr:row>
      <xdr:rowOff>1442436</xdr:rowOff>
    </xdr:from>
    <xdr:to>
      <xdr:col>2</xdr:col>
      <xdr:colOff>1053898</xdr:colOff>
      <xdr:row>0</xdr:row>
      <xdr:rowOff>1785336</xdr:rowOff>
    </xdr:to>
    <xdr:sp macro="[0]!ShowColumnSelector" textlink="">
      <xdr:nvSpPr>
        <xdr:cNvPr id="3" name="Rectangle: Rounded Corners 2">
          <a:extLst>
            <a:ext uri="{FF2B5EF4-FFF2-40B4-BE49-F238E27FC236}">
              <a16:creationId xmlns:a16="http://schemas.microsoft.com/office/drawing/2014/main" id="{303513B7-01D4-4D27-91E6-B30D2B864B85}"/>
            </a:ext>
          </a:extLst>
        </xdr:cNvPr>
        <xdr:cNvSpPr/>
      </xdr:nvSpPr>
      <xdr:spPr>
        <a:xfrm>
          <a:off x="15714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237923</xdr:colOff>
      <xdr:row>0</xdr:row>
      <xdr:rowOff>1439896</xdr:rowOff>
    </xdr:from>
    <xdr:to>
      <xdr:col>1</xdr:col>
      <xdr:colOff>590348</xdr:colOff>
      <xdr:row>0</xdr:row>
      <xdr:rowOff>1786780</xdr:rowOff>
    </xdr:to>
    <xdr:sp macro="[0]!GoToNextSheet" textlink="">
      <xdr:nvSpPr>
        <xdr:cNvPr id="4" name="Rectangle: Rounded Corners 3">
          <a:extLst>
            <a:ext uri="{FF2B5EF4-FFF2-40B4-BE49-F238E27FC236}">
              <a16:creationId xmlns:a16="http://schemas.microsoft.com/office/drawing/2014/main" id="{347F5324-486D-4B83-91EC-D90A242E79E3}"/>
            </a:ext>
          </a:extLst>
        </xdr:cNvPr>
        <xdr:cNvSpPr/>
      </xdr:nvSpPr>
      <xdr:spPr>
        <a:xfrm>
          <a:off x="11523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742748</xdr:colOff>
      <xdr:row>0</xdr:row>
      <xdr:rowOff>1439896</xdr:rowOff>
    </xdr:from>
    <xdr:to>
      <xdr:col>1</xdr:col>
      <xdr:colOff>180773</xdr:colOff>
      <xdr:row>0</xdr:row>
      <xdr:rowOff>1786780</xdr:rowOff>
    </xdr:to>
    <xdr:sp macro="[0]!GoToPreviousSheet" textlink="">
      <xdr:nvSpPr>
        <xdr:cNvPr id="5" name="Rectangle: Rounded Corners 4">
          <a:extLst>
            <a:ext uri="{FF2B5EF4-FFF2-40B4-BE49-F238E27FC236}">
              <a16:creationId xmlns:a16="http://schemas.microsoft.com/office/drawing/2014/main" id="{361EF0BC-59BB-4ACF-9951-AEAD3D9DF225}"/>
            </a:ext>
          </a:extLst>
        </xdr:cNvPr>
        <xdr:cNvSpPr/>
      </xdr:nvSpPr>
      <xdr:spPr>
        <a:xfrm>
          <a:off x="7427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104775</xdr:colOff>
      <xdr:row>0</xdr:row>
      <xdr:rowOff>1438275</xdr:rowOff>
    </xdr:from>
    <xdr:to>
      <xdr:col>0</xdr:col>
      <xdr:colOff>674046</xdr:colOff>
      <xdr:row>0</xdr:row>
      <xdr:rowOff>1785159</xdr:rowOff>
    </xdr:to>
    <xdr:sp macro="[0]!GoToFirstSheet" textlink="">
      <xdr:nvSpPr>
        <xdr:cNvPr id="6" name="Rectangle: Rounded Corners 5">
          <a:extLst>
            <a:ext uri="{FF2B5EF4-FFF2-40B4-BE49-F238E27FC236}">
              <a16:creationId xmlns:a16="http://schemas.microsoft.com/office/drawing/2014/main" id="{F6AF72A2-B837-4E15-AE9E-B9E8C39EB568}"/>
            </a:ext>
          </a:extLst>
        </xdr:cNvPr>
        <xdr:cNvSpPr/>
      </xdr:nvSpPr>
      <xdr:spPr>
        <a:xfrm>
          <a:off x="1047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657023</xdr:colOff>
      <xdr:row>0</xdr:row>
      <xdr:rowOff>1442436</xdr:rowOff>
    </xdr:from>
    <xdr:to>
      <xdr:col>2</xdr:col>
      <xdr:colOff>1053898</xdr:colOff>
      <xdr:row>0</xdr:row>
      <xdr:rowOff>1785336</xdr:rowOff>
    </xdr:to>
    <xdr:sp macro="[0]!ShowColumnSelector" textlink="">
      <xdr:nvSpPr>
        <xdr:cNvPr id="3" name="Rectangle: Rounded Corners 2">
          <a:extLst>
            <a:ext uri="{FF2B5EF4-FFF2-40B4-BE49-F238E27FC236}">
              <a16:creationId xmlns:a16="http://schemas.microsoft.com/office/drawing/2014/main" id="{6AE7255F-AB38-4E92-B5B7-643C3282D2A4}"/>
            </a:ext>
          </a:extLst>
        </xdr:cNvPr>
        <xdr:cNvSpPr/>
      </xdr:nvSpPr>
      <xdr:spPr>
        <a:xfrm>
          <a:off x="15714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237923</xdr:colOff>
      <xdr:row>0</xdr:row>
      <xdr:rowOff>1439896</xdr:rowOff>
    </xdr:from>
    <xdr:to>
      <xdr:col>1</xdr:col>
      <xdr:colOff>590348</xdr:colOff>
      <xdr:row>0</xdr:row>
      <xdr:rowOff>1786780</xdr:rowOff>
    </xdr:to>
    <xdr:sp macro="[0]!GoToNextSheet" textlink="">
      <xdr:nvSpPr>
        <xdr:cNvPr id="4" name="Rectangle: Rounded Corners 3">
          <a:extLst>
            <a:ext uri="{FF2B5EF4-FFF2-40B4-BE49-F238E27FC236}">
              <a16:creationId xmlns:a16="http://schemas.microsoft.com/office/drawing/2014/main" id="{AD2DB74C-9E57-4D24-A556-57AD07CDB280}"/>
            </a:ext>
          </a:extLst>
        </xdr:cNvPr>
        <xdr:cNvSpPr/>
      </xdr:nvSpPr>
      <xdr:spPr>
        <a:xfrm>
          <a:off x="11523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742748</xdr:colOff>
      <xdr:row>0</xdr:row>
      <xdr:rowOff>1439896</xdr:rowOff>
    </xdr:from>
    <xdr:to>
      <xdr:col>1</xdr:col>
      <xdr:colOff>180773</xdr:colOff>
      <xdr:row>0</xdr:row>
      <xdr:rowOff>1786780</xdr:rowOff>
    </xdr:to>
    <xdr:sp macro="[0]!GoToPreviousSheet" textlink="">
      <xdr:nvSpPr>
        <xdr:cNvPr id="5" name="Rectangle: Rounded Corners 4">
          <a:extLst>
            <a:ext uri="{FF2B5EF4-FFF2-40B4-BE49-F238E27FC236}">
              <a16:creationId xmlns:a16="http://schemas.microsoft.com/office/drawing/2014/main" id="{4C7DC6A6-9051-4CF7-9958-7FE90DEAF546}"/>
            </a:ext>
          </a:extLst>
        </xdr:cNvPr>
        <xdr:cNvSpPr/>
      </xdr:nvSpPr>
      <xdr:spPr>
        <a:xfrm>
          <a:off x="7427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104775</xdr:colOff>
      <xdr:row>0</xdr:row>
      <xdr:rowOff>1438275</xdr:rowOff>
    </xdr:from>
    <xdr:to>
      <xdr:col>0</xdr:col>
      <xdr:colOff>674046</xdr:colOff>
      <xdr:row>0</xdr:row>
      <xdr:rowOff>1785159</xdr:rowOff>
    </xdr:to>
    <xdr:sp macro="[0]!GoToFirstSheet" textlink="">
      <xdr:nvSpPr>
        <xdr:cNvPr id="6" name="Rectangle: Rounded Corners 5">
          <a:extLst>
            <a:ext uri="{FF2B5EF4-FFF2-40B4-BE49-F238E27FC236}">
              <a16:creationId xmlns:a16="http://schemas.microsoft.com/office/drawing/2014/main" id="{CAD71107-B4B4-446D-B8B4-507722E86E66}"/>
            </a:ext>
          </a:extLst>
        </xdr:cNvPr>
        <xdr:cNvSpPr/>
      </xdr:nvSpPr>
      <xdr:spPr>
        <a:xfrm>
          <a:off x="1047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655774</xdr:colOff>
      <xdr:row>0</xdr:row>
      <xdr:rowOff>1443790</xdr:rowOff>
    </xdr:from>
    <xdr:to>
      <xdr:col>7</xdr:col>
      <xdr:colOff>1249833</xdr:colOff>
      <xdr:row>0</xdr:row>
      <xdr:rowOff>1789698</xdr:rowOff>
    </xdr:to>
    <xdr:sp macro="[0]!GoToNextSheet" textlink="">
      <xdr:nvSpPr>
        <xdr:cNvPr id="2" name="Rectangle: Rounded Corners 1">
          <a:extLst>
            <a:ext uri="{FF2B5EF4-FFF2-40B4-BE49-F238E27FC236}">
              <a16:creationId xmlns:a16="http://schemas.microsoft.com/office/drawing/2014/main" id="{273A085F-8065-4C54-8AA7-D5F7F7B79477}"/>
            </a:ext>
          </a:extLst>
        </xdr:cNvPr>
        <xdr:cNvSpPr/>
      </xdr:nvSpPr>
      <xdr:spPr>
        <a:xfrm>
          <a:off x="7884748" y="1443790"/>
          <a:ext cx="1977690"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Tillage events</a:t>
          </a:r>
          <a:endParaRPr lang="en-DE" sz="1100" kern="1200">
            <a:solidFill>
              <a:schemeClr val="lt1"/>
            </a:solidFill>
            <a:latin typeface="+mn-lt"/>
            <a:ea typeface="+mn-ea"/>
            <a:cs typeface="+mn-cs"/>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676073</xdr:colOff>
      <xdr:row>0</xdr:row>
      <xdr:rowOff>1432911</xdr:rowOff>
    </xdr:from>
    <xdr:to>
      <xdr:col>2</xdr:col>
      <xdr:colOff>1072948</xdr:colOff>
      <xdr:row>0</xdr:row>
      <xdr:rowOff>1775811</xdr:rowOff>
    </xdr:to>
    <xdr:sp macro="[0]!ShowColumnSelector" textlink="">
      <xdr:nvSpPr>
        <xdr:cNvPr id="3" name="Rectangle: Rounded Corners 2">
          <a:extLst>
            <a:ext uri="{FF2B5EF4-FFF2-40B4-BE49-F238E27FC236}">
              <a16:creationId xmlns:a16="http://schemas.microsoft.com/office/drawing/2014/main" id="{5F4FAAB6-AF42-40C2-BEDA-0C9CA6276016}"/>
            </a:ext>
          </a:extLst>
        </xdr:cNvPr>
        <xdr:cNvSpPr/>
      </xdr:nvSpPr>
      <xdr:spPr>
        <a:xfrm>
          <a:off x="1590473" y="143291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1430371</xdr:rowOff>
    </xdr:from>
    <xdr:to>
      <xdr:col>1</xdr:col>
      <xdr:colOff>609398</xdr:colOff>
      <xdr:row>0</xdr:row>
      <xdr:rowOff>1777255</xdr:rowOff>
    </xdr:to>
    <xdr:sp macro="[0]!GoToNextSheet" textlink="">
      <xdr:nvSpPr>
        <xdr:cNvPr id="4" name="Rectangle: Rounded Corners 3">
          <a:extLst>
            <a:ext uri="{FF2B5EF4-FFF2-40B4-BE49-F238E27FC236}">
              <a16:creationId xmlns:a16="http://schemas.microsoft.com/office/drawing/2014/main" id="{E5858193-3181-4F9C-9E86-6672D5751A73}"/>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1430371</xdr:rowOff>
    </xdr:from>
    <xdr:to>
      <xdr:col>1</xdr:col>
      <xdr:colOff>199823</xdr:colOff>
      <xdr:row>0</xdr:row>
      <xdr:rowOff>1777255</xdr:rowOff>
    </xdr:to>
    <xdr:sp macro="[0]!GoToPreviousSheet" textlink="">
      <xdr:nvSpPr>
        <xdr:cNvPr id="5" name="Rectangle: Rounded Corners 4">
          <a:extLst>
            <a:ext uri="{FF2B5EF4-FFF2-40B4-BE49-F238E27FC236}">
              <a16:creationId xmlns:a16="http://schemas.microsoft.com/office/drawing/2014/main" id="{4809731D-6812-44BF-B5AB-0F90763C3842}"/>
            </a:ext>
          </a:extLst>
        </xdr:cNvPr>
        <xdr:cNvSpPr/>
      </xdr:nvSpPr>
      <xdr:spPr>
        <a:xfrm>
          <a:off x="761798"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1428750</xdr:rowOff>
    </xdr:from>
    <xdr:to>
      <xdr:col>0</xdr:col>
      <xdr:colOff>693096</xdr:colOff>
      <xdr:row>0</xdr:row>
      <xdr:rowOff>1775634</xdr:rowOff>
    </xdr:to>
    <xdr:sp macro="[0]!GoToFirstSheet" textlink="">
      <xdr:nvSpPr>
        <xdr:cNvPr id="6" name="Rectangle: Rounded Corners 5">
          <a:extLst>
            <a:ext uri="{FF2B5EF4-FFF2-40B4-BE49-F238E27FC236}">
              <a16:creationId xmlns:a16="http://schemas.microsoft.com/office/drawing/2014/main" id="{2B3358A6-19AE-4046-971B-F67A92219A40}"/>
            </a:ext>
          </a:extLst>
        </xdr:cNvPr>
        <xdr:cNvSpPr/>
      </xdr:nvSpPr>
      <xdr:spPr>
        <a:xfrm>
          <a:off x="123825" y="142875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666548</xdr:colOff>
      <xdr:row>0</xdr:row>
      <xdr:rowOff>1432911</xdr:rowOff>
    </xdr:from>
    <xdr:to>
      <xdr:col>2</xdr:col>
      <xdr:colOff>1063423</xdr:colOff>
      <xdr:row>0</xdr:row>
      <xdr:rowOff>1775811</xdr:rowOff>
    </xdr:to>
    <xdr:sp macro="[0]!ShowColumnSelector" textlink="">
      <xdr:nvSpPr>
        <xdr:cNvPr id="2" name="Rectangle: Rounded Corners 1">
          <a:extLst>
            <a:ext uri="{FF2B5EF4-FFF2-40B4-BE49-F238E27FC236}">
              <a16:creationId xmlns:a16="http://schemas.microsoft.com/office/drawing/2014/main" id="{314A54A0-806E-48C6-8EC7-7F30D5A3637B}"/>
            </a:ext>
          </a:extLst>
        </xdr:cNvPr>
        <xdr:cNvSpPr/>
      </xdr:nvSpPr>
      <xdr:spPr>
        <a:xfrm>
          <a:off x="1580948" y="143291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247448</xdr:colOff>
      <xdr:row>0</xdr:row>
      <xdr:rowOff>1430371</xdr:rowOff>
    </xdr:from>
    <xdr:to>
      <xdr:col>1</xdr:col>
      <xdr:colOff>599873</xdr:colOff>
      <xdr:row>0</xdr:row>
      <xdr:rowOff>1777255</xdr:rowOff>
    </xdr:to>
    <xdr:sp macro="[0]!GoToNextSheet" textlink="">
      <xdr:nvSpPr>
        <xdr:cNvPr id="3" name="Rectangle: Rounded Corners 2">
          <a:extLst>
            <a:ext uri="{FF2B5EF4-FFF2-40B4-BE49-F238E27FC236}">
              <a16:creationId xmlns:a16="http://schemas.microsoft.com/office/drawing/2014/main" id="{136CF7D0-4A8F-47B1-8AB0-907308B5EFD1}"/>
            </a:ext>
          </a:extLst>
        </xdr:cNvPr>
        <xdr:cNvSpPr/>
      </xdr:nvSpPr>
      <xdr:spPr>
        <a:xfrm>
          <a:off x="1161848"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752273</xdr:colOff>
      <xdr:row>0</xdr:row>
      <xdr:rowOff>1430371</xdr:rowOff>
    </xdr:from>
    <xdr:to>
      <xdr:col>1</xdr:col>
      <xdr:colOff>190298</xdr:colOff>
      <xdr:row>0</xdr:row>
      <xdr:rowOff>1777255</xdr:rowOff>
    </xdr:to>
    <xdr:sp macro="[0]!GoToPreviousSheet" textlink="">
      <xdr:nvSpPr>
        <xdr:cNvPr id="4" name="Rectangle: Rounded Corners 3">
          <a:extLst>
            <a:ext uri="{FF2B5EF4-FFF2-40B4-BE49-F238E27FC236}">
              <a16:creationId xmlns:a16="http://schemas.microsoft.com/office/drawing/2014/main" id="{FBB3E51B-3789-4D1D-97E2-A6E308A9596A}"/>
            </a:ext>
          </a:extLst>
        </xdr:cNvPr>
        <xdr:cNvSpPr/>
      </xdr:nvSpPr>
      <xdr:spPr>
        <a:xfrm>
          <a:off x="7522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114300</xdr:colOff>
      <xdr:row>0</xdr:row>
      <xdr:rowOff>1428750</xdr:rowOff>
    </xdr:from>
    <xdr:to>
      <xdr:col>0</xdr:col>
      <xdr:colOff>683571</xdr:colOff>
      <xdr:row>0</xdr:row>
      <xdr:rowOff>1775634</xdr:rowOff>
    </xdr:to>
    <xdr:sp macro="[0]!GoToFirstSheet" textlink="">
      <xdr:nvSpPr>
        <xdr:cNvPr id="5" name="Rectangle: Rounded Corners 4">
          <a:extLst>
            <a:ext uri="{FF2B5EF4-FFF2-40B4-BE49-F238E27FC236}">
              <a16:creationId xmlns:a16="http://schemas.microsoft.com/office/drawing/2014/main" id="{256E682A-984A-4CB4-8AFF-4A1307B3F8A9}"/>
            </a:ext>
          </a:extLst>
        </xdr:cNvPr>
        <xdr:cNvSpPr/>
      </xdr:nvSpPr>
      <xdr:spPr>
        <a:xfrm>
          <a:off x="114300" y="142875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667720</xdr:colOff>
      <xdr:row>0</xdr:row>
      <xdr:rowOff>1429682</xdr:rowOff>
    </xdr:from>
    <xdr:to>
      <xdr:col>7</xdr:col>
      <xdr:colOff>1261778</xdr:colOff>
      <xdr:row>0</xdr:row>
      <xdr:rowOff>1775590</xdr:rowOff>
    </xdr:to>
    <xdr:sp macro="[0]!GoToNextSheet" textlink="">
      <xdr:nvSpPr>
        <xdr:cNvPr id="6" name="Rectangle: Rounded Corners 5">
          <a:extLst>
            <a:ext uri="{FF2B5EF4-FFF2-40B4-BE49-F238E27FC236}">
              <a16:creationId xmlns:a16="http://schemas.microsoft.com/office/drawing/2014/main" id="{A05AAC1B-D389-E905-B5DE-B9E6AE9B29B7}"/>
            </a:ext>
          </a:extLst>
        </xdr:cNvPr>
        <xdr:cNvSpPr/>
      </xdr:nvSpPr>
      <xdr:spPr>
        <a:xfrm>
          <a:off x="8314934" y="1429682"/>
          <a:ext cx="1976544"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Initial soil</a:t>
          </a:r>
          <a:r>
            <a:rPr lang="de-DE" sz="1100" kern="1200" baseline="0">
              <a:solidFill>
                <a:schemeClr val="lt1"/>
              </a:solidFill>
              <a:latin typeface="+mn-lt"/>
              <a:ea typeface="+mn-ea"/>
              <a:cs typeface="+mn-cs"/>
            </a:rPr>
            <a:t> analysis</a:t>
          </a:r>
          <a:endParaRPr lang="en-DE" sz="1100" kern="1200">
            <a:solidFill>
              <a:schemeClr val="lt1"/>
            </a:solidFill>
            <a:latin typeface="+mn-lt"/>
            <a:ea typeface="+mn-ea"/>
            <a:cs typeface="+mn-cs"/>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676073</xdr:colOff>
      <xdr:row>0</xdr:row>
      <xdr:rowOff>1423386</xdr:rowOff>
    </xdr:from>
    <xdr:to>
      <xdr:col>2</xdr:col>
      <xdr:colOff>1139623</xdr:colOff>
      <xdr:row>0</xdr:row>
      <xdr:rowOff>1766286</xdr:rowOff>
    </xdr:to>
    <xdr:sp macro="[0]!ShowColumnSelector" textlink="">
      <xdr:nvSpPr>
        <xdr:cNvPr id="2" name="Rectangle: Rounded Corners 1">
          <a:extLst>
            <a:ext uri="{FF2B5EF4-FFF2-40B4-BE49-F238E27FC236}">
              <a16:creationId xmlns:a16="http://schemas.microsoft.com/office/drawing/2014/main" id="{53B86F27-088F-4CBA-AF18-35A77EA1F0C3}"/>
            </a:ext>
          </a:extLst>
        </xdr:cNvPr>
        <xdr:cNvSpPr/>
      </xdr:nvSpPr>
      <xdr:spPr>
        <a:xfrm>
          <a:off x="1590473" y="142338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1420846</xdr:rowOff>
    </xdr:from>
    <xdr:to>
      <xdr:col>1</xdr:col>
      <xdr:colOff>609398</xdr:colOff>
      <xdr:row>0</xdr:row>
      <xdr:rowOff>1767730</xdr:rowOff>
    </xdr:to>
    <xdr:sp macro="[0]!GoToNextSheet" textlink="">
      <xdr:nvSpPr>
        <xdr:cNvPr id="3" name="Rectangle: Rounded Corners 2">
          <a:extLst>
            <a:ext uri="{FF2B5EF4-FFF2-40B4-BE49-F238E27FC236}">
              <a16:creationId xmlns:a16="http://schemas.microsoft.com/office/drawing/2014/main" id="{83C4B007-0169-44B7-AC4A-8534F858681F}"/>
            </a:ext>
          </a:extLst>
        </xdr:cNvPr>
        <xdr:cNvSpPr/>
      </xdr:nvSpPr>
      <xdr:spPr>
        <a:xfrm>
          <a:off x="117137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1420846</xdr:rowOff>
    </xdr:from>
    <xdr:to>
      <xdr:col>1</xdr:col>
      <xdr:colOff>199823</xdr:colOff>
      <xdr:row>0</xdr:row>
      <xdr:rowOff>1767730</xdr:rowOff>
    </xdr:to>
    <xdr:sp macro="[0]!GoToPreviousSheet" textlink="">
      <xdr:nvSpPr>
        <xdr:cNvPr id="4" name="Rectangle: Rounded Corners 3">
          <a:extLst>
            <a:ext uri="{FF2B5EF4-FFF2-40B4-BE49-F238E27FC236}">
              <a16:creationId xmlns:a16="http://schemas.microsoft.com/office/drawing/2014/main" id="{1AA4210C-63C4-4AD6-8282-A5ED14F55D54}"/>
            </a:ext>
          </a:extLst>
        </xdr:cNvPr>
        <xdr:cNvSpPr/>
      </xdr:nvSpPr>
      <xdr:spPr>
        <a:xfrm>
          <a:off x="761798"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1419225</xdr:rowOff>
    </xdr:from>
    <xdr:to>
      <xdr:col>0</xdr:col>
      <xdr:colOff>693096</xdr:colOff>
      <xdr:row>0</xdr:row>
      <xdr:rowOff>1766109</xdr:rowOff>
    </xdr:to>
    <xdr:sp macro="[0]!GoToFirstSheet" textlink="">
      <xdr:nvSpPr>
        <xdr:cNvPr id="5" name="Rectangle: Rounded Corners 4">
          <a:extLst>
            <a:ext uri="{FF2B5EF4-FFF2-40B4-BE49-F238E27FC236}">
              <a16:creationId xmlns:a16="http://schemas.microsoft.com/office/drawing/2014/main" id="{9FB89422-3FDC-4C79-90DE-3ACB91FE019D}"/>
            </a:ext>
          </a:extLst>
        </xdr:cNvPr>
        <xdr:cNvSpPr/>
      </xdr:nvSpPr>
      <xdr:spPr>
        <a:xfrm>
          <a:off x="123825" y="141922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685598</xdr:colOff>
      <xdr:row>0</xdr:row>
      <xdr:rowOff>1451961</xdr:rowOff>
    </xdr:from>
    <xdr:to>
      <xdr:col>2</xdr:col>
      <xdr:colOff>1149148</xdr:colOff>
      <xdr:row>0</xdr:row>
      <xdr:rowOff>1794861</xdr:rowOff>
    </xdr:to>
    <xdr:sp macro="[0]!ShowColumnSelector" textlink="">
      <xdr:nvSpPr>
        <xdr:cNvPr id="2" name="Rectangle: Rounded Corners 1">
          <a:extLst>
            <a:ext uri="{FF2B5EF4-FFF2-40B4-BE49-F238E27FC236}">
              <a16:creationId xmlns:a16="http://schemas.microsoft.com/office/drawing/2014/main" id="{54010828-03DB-43DE-AD66-0579CB058D78}"/>
            </a:ext>
          </a:extLst>
        </xdr:cNvPr>
        <xdr:cNvSpPr/>
      </xdr:nvSpPr>
      <xdr:spPr>
        <a:xfrm>
          <a:off x="1599998"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266498</xdr:colOff>
      <xdr:row>0</xdr:row>
      <xdr:rowOff>1449421</xdr:rowOff>
    </xdr:from>
    <xdr:to>
      <xdr:col>1</xdr:col>
      <xdr:colOff>618923</xdr:colOff>
      <xdr:row>0</xdr:row>
      <xdr:rowOff>1796305</xdr:rowOff>
    </xdr:to>
    <xdr:sp macro="[0]!GoToNextSheet" textlink="">
      <xdr:nvSpPr>
        <xdr:cNvPr id="3" name="Rectangle: Rounded Corners 2">
          <a:extLst>
            <a:ext uri="{FF2B5EF4-FFF2-40B4-BE49-F238E27FC236}">
              <a16:creationId xmlns:a16="http://schemas.microsoft.com/office/drawing/2014/main" id="{754EE538-E074-48C4-BABD-7CCC6381A57E}"/>
            </a:ext>
          </a:extLst>
        </xdr:cNvPr>
        <xdr:cNvSpPr/>
      </xdr:nvSpPr>
      <xdr:spPr>
        <a:xfrm>
          <a:off x="11808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771323</xdr:colOff>
      <xdr:row>0</xdr:row>
      <xdr:rowOff>1449421</xdr:rowOff>
    </xdr:from>
    <xdr:to>
      <xdr:col>1</xdr:col>
      <xdr:colOff>209348</xdr:colOff>
      <xdr:row>0</xdr:row>
      <xdr:rowOff>1796305</xdr:rowOff>
    </xdr:to>
    <xdr:sp macro="[0]!GoToPreviousSheet" textlink="">
      <xdr:nvSpPr>
        <xdr:cNvPr id="4" name="Rectangle: Rounded Corners 3">
          <a:extLst>
            <a:ext uri="{FF2B5EF4-FFF2-40B4-BE49-F238E27FC236}">
              <a16:creationId xmlns:a16="http://schemas.microsoft.com/office/drawing/2014/main" id="{EF25886B-51A9-44CA-9D97-B41B9F70A264}"/>
            </a:ext>
          </a:extLst>
        </xdr:cNvPr>
        <xdr:cNvSpPr/>
      </xdr:nvSpPr>
      <xdr:spPr>
        <a:xfrm>
          <a:off x="77132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133350</xdr:colOff>
      <xdr:row>0</xdr:row>
      <xdr:rowOff>1447800</xdr:rowOff>
    </xdr:from>
    <xdr:to>
      <xdr:col>0</xdr:col>
      <xdr:colOff>702621</xdr:colOff>
      <xdr:row>0</xdr:row>
      <xdr:rowOff>1794684</xdr:rowOff>
    </xdr:to>
    <xdr:sp macro="[0]!GoToFirstSheet" textlink="">
      <xdr:nvSpPr>
        <xdr:cNvPr id="5" name="Rectangle: Rounded Corners 4">
          <a:extLst>
            <a:ext uri="{FF2B5EF4-FFF2-40B4-BE49-F238E27FC236}">
              <a16:creationId xmlns:a16="http://schemas.microsoft.com/office/drawing/2014/main" id="{73F561FD-CC97-4E91-83D2-6804F2B1AD69}"/>
            </a:ext>
          </a:extLst>
        </xdr:cNvPr>
        <xdr:cNvSpPr/>
      </xdr:nvSpPr>
      <xdr:spPr>
        <a:xfrm>
          <a:off x="1333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28E14B33-BD00-4A69-862A-3B2B6E708FD8}"/>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D98664E2-3334-4187-A9AD-10698AFAC4A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350D811A-ED6E-4ADB-8853-FE4F777A1C50}"/>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FB00F86E-6549-4F71-B88B-26F17BA42B6E}"/>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669103</xdr:colOff>
      <xdr:row>0</xdr:row>
      <xdr:rowOff>1453753</xdr:rowOff>
    </xdr:from>
    <xdr:to>
      <xdr:col>7</xdr:col>
      <xdr:colOff>1263161</xdr:colOff>
      <xdr:row>0</xdr:row>
      <xdr:rowOff>1799661</xdr:rowOff>
    </xdr:to>
    <xdr:sp macro="[0]!GoToNextSheet" textlink="">
      <xdr:nvSpPr>
        <xdr:cNvPr id="6" name="Rectangle: Rounded Corners 5">
          <a:extLst>
            <a:ext uri="{FF2B5EF4-FFF2-40B4-BE49-F238E27FC236}">
              <a16:creationId xmlns:a16="http://schemas.microsoft.com/office/drawing/2014/main" id="{9D50A1B2-4EF0-4B6D-AB8B-EF6576E60C78}"/>
            </a:ext>
          </a:extLst>
        </xdr:cNvPr>
        <xdr:cNvSpPr/>
      </xdr:nvSpPr>
      <xdr:spPr>
        <a:xfrm>
          <a:off x="7824759" y="1453753"/>
          <a:ext cx="1975183"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Irrigation events</a:t>
          </a:r>
          <a:endParaRPr lang="en-DE" sz="1100" kern="1200">
            <a:solidFill>
              <a:schemeClr val="lt1"/>
            </a:solidFill>
            <a:latin typeface="+mn-lt"/>
            <a:ea typeface="+mn-ea"/>
            <a:cs typeface="+mn-cs"/>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676073</xdr:colOff>
      <xdr:row>0</xdr:row>
      <xdr:rowOff>1442436</xdr:rowOff>
    </xdr:from>
    <xdr:to>
      <xdr:col>2</xdr:col>
      <xdr:colOff>1139623</xdr:colOff>
      <xdr:row>0</xdr:row>
      <xdr:rowOff>1785336</xdr:rowOff>
    </xdr:to>
    <xdr:sp macro="[0]!ShowColumnSelector" textlink="">
      <xdr:nvSpPr>
        <xdr:cNvPr id="2" name="Rectangle: Rounded Corners 1">
          <a:extLst>
            <a:ext uri="{FF2B5EF4-FFF2-40B4-BE49-F238E27FC236}">
              <a16:creationId xmlns:a16="http://schemas.microsoft.com/office/drawing/2014/main" id="{79AD1712-E984-424D-B05C-2DD3A78860EE}"/>
            </a:ext>
          </a:extLst>
        </xdr:cNvPr>
        <xdr:cNvSpPr/>
      </xdr:nvSpPr>
      <xdr:spPr>
        <a:xfrm>
          <a:off x="159047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1438275</xdr:rowOff>
    </xdr:from>
    <xdr:to>
      <xdr:col>0</xdr:col>
      <xdr:colOff>693096</xdr:colOff>
      <xdr:row>0</xdr:row>
      <xdr:rowOff>1785159</xdr:rowOff>
    </xdr:to>
    <xdr:sp macro="[0]!GoToFirstSheet" textlink="">
      <xdr:nvSpPr>
        <xdr:cNvPr id="5" name="Rectangle: Rounded Corners 4">
          <a:extLst>
            <a:ext uri="{FF2B5EF4-FFF2-40B4-BE49-F238E27FC236}">
              <a16:creationId xmlns:a16="http://schemas.microsoft.com/office/drawing/2014/main" id="{5372061A-505D-4BA3-B546-B9A4C7ACAADB}"/>
            </a:ext>
          </a:extLst>
        </xdr:cNvPr>
        <xdr:cNvSpPr/>
      </xdr:nvSpPr>
      <xdr:spPr>
        <a:xfrm>
          <a:off x="12382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257175</xdr:colOff>
      <xdr:row>0</xdr:row>
      <xdr:rowOff>1438275</xdr:rowOff>
    </xdr:from>
    <xdr:to>
      <xdr:col>1</xdr:col>
      <xdr:colOff>609600</xdr:colOff>
      <xdr:row>0</xdr:row>
      <xdr:rowOff>1785159</xdr:rowOff>
    </xdr:to>
    <xdr:sp macro="[0]!GoToNextSheet" textlink="">
      <xdr:nvSpPr>
        <xdr:cNvPr id="6" name="Rectangle: Rounded Corners 5">
          <a:extLst>
            <a:ext uri="{FF2B5EF4-FFF2-40B4-BE49-F238E27FC236}">
              <a16:creationId xmlns:a16="http://schemas.microsoft.com/office/drawing/2014/main" id="{157611DD-4514-4869-83F4-66C3CA8969C9}"/>
            </a:ext>
          </a:extLst>
        </xdr:cNvPr>
        <xdr:cNvSpPr/>
      </xdr:nvSpPr>
      <xdr:spPr>
        <a:xfrm>
          <a:off x="1171575" y="143827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1</xdr:col>
      <xdr:colOff>200025</xdr:colOff>
      <xdr:row>0</xdr:row>
      <xdr:rowOff>1785159</xdr:rowOff>
    </xdr:to>
    <xdr:sp macro="[0]!GoToPreviousSheet" textlink="">
      <xdr:nvSpPr>
        <xdr:cNvPr id="7" name="Rectangle: Rounded Corners 6">
          <a:extLst>
            <a:ext uri="{FF2B5EF4-FFF2-40B4-BE49-F238E27FC236}">
              <a16:creationId xmlns:a16="http://schemas.microsoft.com/office/drawing/2014/main" id="{95383A75-CC40-4528-98CA-1492999D34AC}"/>
            </a:ext>
          </a:extLst>
        </xdr:cNvPr>
        <xdr:cNvSpPr/>
      </xdr:nvSpPr>
      <xdr:spPr>
        <a:xfrm>
          <a:off x="762000" y="143827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657023</xdr:colOff>
      <xdr:row>0</xdr:row>
      <xdr:rowOff>1442436</xdr:rowOff>
    </xdr:from>
    <xdr:to>
      <xdr:col>2</xdr:col>
      <xdr:colOff>1120573</xdr:colOff>
      <xdr:row>0</xdr:row>
      <xdr:rowOff>1785336</xdr:rowOff>
    </xdr:to>
    <xdr:sp macro="[0]!ShowColumnSelector" textlink="">
      <xdr:nvSpPr>
        <xdr:cNvPr id="2" name="Rectangle: Rounded Corners 1">
          <a:extLst>
            <a:ext uri="{FF2B5EF4-FFF2-40B4-BE49-F238E27FC236}">
              <a16:creationId xmlns:a16="http://schemas.microsoft.com/office/drawing/2014/main" id="{2D9F2184-5471-4A7C-9B9A-CB57E1F61231}"/>
            </a:ext>
          </a:extLst>
        </xdr:cNvPr>
        <xdr:cNvSpPr/>
      </xdr:nvSpPr>
      <xdr:spPr>
        <a:xfrm>
          <a:off x="15714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237923</xdr:colOff>
      <xdr:row>0</xdr:row>
      <xdr:rowOff>1439896</xdr:rowOff>
    </xdr:from>
    <xdr:to>
      <xdr:col>1</xdr:col>
      <xdr:colOff>590348</xdr:colOff>
      <xdr:row>0</xdr:row>
      <xdr:rowOff>1786780</xdr:rowOff>
    </xdr:to>
    <xdr:sp macro="[0]!GoToNextSheet" textlink="">
      <xdr:nvSpPr>
        <xdr:cNvPr id="3" name="Rectangle: Rounded Corners 2">
          <a:extLst>
            <a:ext uri="{FF2B5EF4-FFF2-40B4-BE49-F238E27FC236}">
              <a16:creationId xmlns:a16="http://schemas.microsoft.com/office/drawing/2014/main" id="{00AC8EEC-1D9C-4183-8B25-05714C181AC2}"/>
            </a:ext>
          </a:extLst>
        </xdr:cNvPr>
        <xdr:cNvSpPr/>
      </xdr:nvSpPr>
      <xdr:spPr>
        <a:xfrm>
          <a:off x="11523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742748</xdr:colOff>
      <xdr:row>0</xdr:row>
      <xdr:rowOff>1439896</xdr:rowOff>
    </xdr:from>
    <xdr:to>
      <xdr:col>1</xdr:col>
      <xdr:colOff>180773</xdr:colOff>
      <xdr:row>0</xdr:row>
      <xdr:rowOff>1786780</xdr:rowOff>
    </xdr:to>
    <xdr:sp macro="[0]!GoToPreviousSheet" textlink="">
      <xdr:nvSpPr>
        <xdr:cNvPr id="4" name="Rectangle: Rounded Corners 3">
          <a:extLst>
            <a:ext uri="{FF2B5EF4-FFF2-40B4-BE49-F238E27FC236}">
              <a16:creationId xmlns:a16="http://schemas.microsoft.com/office/drawing/2014/main" id="{D032CD65-2AEA-4B9D-80BF-590310D8FC18}"/>
            </a:ext>
          </a:extLst>
        </xdr:cNvPr>
        <xdr:cNvSpPr/>
      </xdr:nvSpPr>
      <xdr:spPr>
        <a:xfrm>
          <a:off x="7427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104775</xdr:colOff>
      <xdr:row>0</xdr:row>
      <xdr:rowOff>1438275</xdr:rowOff>
    </xdr:from>
    <xdr:to>
      <xdr:col>0</xdr:col>
      <xdr:colOff>674046</xdr:colOff>
      <xdr:row>0</xdr:row>
      <xdr:rowOff>1785159</xdr:rowOff>
    </xdr:to>
    <xdr:sp macro="[0]!GoToFirstSheet" textlink="">
      <xdr:nvSpPr>
        <xdr:cNvPr id="5" name="Rectangle: Rounded Corners 4">
          <a:extLst>
            <a:ext uri="{FF2B5EF4-FFF2-40B4-BE49-F238E27FC236}">
              <a16:creationId xmlns:a16="http://schemas.microsoft.com/office/drawing/2014/main" id="{4B05C264-83C4-4CE9-B0DA-9082FA2173EB}"/>
            </a:ext>
          </a:extLst>
        </xdr:cNvPr>
        <xdr:cNvSpPr/>
      </xdr:nvSpPr>
      <xdr:spPr>
        <a:xfrm>
          <a:off x="1047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667915</xdr:colOff>
      <xdr:row>0</xdr:row>
      <xdr:rowOff>1439465</xdr:rowOff>
    </xdr:from>
    <xdr:to>
      <xdr:col>7</xdr:col>
      <xdr:colOff>1260331</xdr:colOff>
      <xdr:row>0</xdr:row>
      <xdr:rowOff>1785373</xdr:rowOff>
    </xdr:to>
    <xdr:sp macro="[0]!GoToNextSheet" textlink="">
      <xdr:nvSpPr>
        <xdr:cNvPr id="6" name="Rectangle: Rounded Corners 5">
          <a:extLst>
            <a:ext uri="{FF2B5EF4-FFF2-40B4-BE49-F238E27FC236}">
              <a16:creationId xmlns:a16="http://schemas.microsoft.com/office/drawing/2014/main" id="{840B8928-505F-47C1-884D-A23F7735F142}"/>
            </a:ext>
          </a:extLst>
        </xdr:cNvPr>
        <xdr:cNvSpPr/>
      </xdr:nvSpPr>
      <xdr:spPr>
        <a:xfrm>
          <a:off x="7823571" y="1439465"/>
          <a:ext cx="1973541"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Organic materials applications</a:t>
          </a:r>
          <a:endParaRPr lang="en-DE" sz="1100" kern="1200">
            <a:solidFill>
              <a:schemeClr val="lt1"/>
            </a:solidFill>
            <a:latin typeface="+mn-lt"/>
            <a:ea typeface="+mn-ea"/>
            <a:cs typeface="+mn-cs"/>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695123</xdr:colOff>
      <xdr:row>0</xdr:row>
      <xdr:rowOff>1442436</xdr:rowOff>
    </xdr:from>
    <xdr:to>
      <xdr:col>2</xdr:col>
      <xdr:colOff>1158673</xdr:colOff>
      <xdr:row>0</xdr:row>
      <xdr:rowOff>1785336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685598</xdr:colOff>
      <xdr:row>0</xdr:row>
      <xdr:rowOff>1442436</xdr:rowOff>
    </xdr:from>
    <xdr:to>
      <xdr:col>2</xdr:col>
      <xdr:colOff>1149148</xdr:colOff>
      <xdr:row>0</xdr:row>
      <xdr:rowOff>1785336</xdr:rowOff>
    </xdr:to>
    <xdr:sp macro="[0]!ShowColumnSelector" textlink="">
      <xdr:nvSpPr>
        <xdr:cNvPr id="2" name="Rectangle: Rounded Corners 1">
          <a:extLst>
            <a:ext uri="{FF2B5EF4-FFF2-40B4-BE49-F238E27FC236}">
              <a16:creationId xmlns:a16="http://schemas.microsoft.com/office/drawing/2014/main" id="{BA8E3B2D-31EF-4161-AB09-F832D86B4C66}"/>
            </a:ext>
          </a:extLst>
        </xdr:cNvPr>
        <xdr:cNvSpPr/>
      </xdr:nvSpPr>
      <xdr:spPr>
        <a:xfrm>
          <a:off x="1599998"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266498</xdr:colOff>
      <xdr:row>0</xdr:row>
      <xdr:rowOff>1439896</xdr:rowOff>
    </xdr:from>
    <xdr:to>
      <xdr:col>1</xdr:col>
      <xdr:colOff>618923</xdr:colOff>
      <xdr:row>0</xdr:row>
      <xdr:rowOff>1786780</xdr:rowOff>
    </xdr:to>
    <xdr:sp macro="[0]!GoToNextSheet" textlink="">
      <xdr:nvSpPr>
        <xdr:cNvPr id="3" name="Rectangle: Rounded Corners 2">
          <a:extLst>
            <a:ext uri="{FF2B5EF4-FFF2-40B4-BE49-F238E27FC236}">
              <a16:creationId xmlns:a16="http://schemas.microsoft.com/office/drawing/2014/main" id="{8DDF0E8B-BEDF-459E-96ED-1578414ED5A1}"/>
            </a:ext>
          </a:extLst>
        </xdr:cNvPr>
        <xdr:cNvSpPr/>
      </xdr:nvSpPr>
      <xdr:spPr>
        <a:xfrm>
          <a:off x="118089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771323</xdr:colOff>
      <xdr:row>0</xdr:row>
      <xdr:rowOff>1439896</xdr:rowOff>
    </xdr:from>
    <xdr:to>
      <xdr:col>1</xdr:col>
      <xdr:colOff>209348</xdr:colOff>
      <xdr:row>0</xdr:row>
      <xdr:rowOff>1786780</xdr:rowOff>
    </xdr:to>
    <xdr:sp macro="[0]!GoToPreviousSheet" textlink="">
      <xdr:nvSpPr>
        <xdr:cNvPr id="4" name="Rectangle: Rounded Corners 3">
          <a:extLst>
            <a:ext uri="{FF2B5EF4-FFF2-40B4-BE49-F238E27FC236}">
              <a16:creationId xmlns:a16="http://schemas.microsoft.com/office/drawing/2014/main" id="{8496E9E9-99C8-4782-8C69-A2F2CC374E09}"/>
            </a:ext>
          </a:extLst>
        </xdr:cNvPr>
        <xdr:cNvSpPr/>
      </xdr:nvSpPr>
      <xdr:spPr>
        <a:xfrm>
          <a:off x="7713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133350</xdr:colOff>
      <xdr:row>0</xdr:row>
      <xdr:rowOff>1438275</xdr:rowOff>
    </xdr:from>
    <xdr:to>
      <xdr:col>0</xdr:col>
      <xdr:colOff>702621</xdr:colOff>
      <xdr:row>0</xdr:row>
      <xdr:rowOff>1785159</xdr:rowOff>
    </xdr:to>
    <xdr:sp macro="[0]!GoToFirstSheet" textlink="">
      <xdr:nvSpPr>
        <xdr:cNvPr id="5" name="Rectangle: Rounded Corners 4">
          <a:extLst>
            <a:ext uri="{FF2B5EF4-FFF2-40B4-BE49-F238E27FC236}">
              <a16:creationId xmlns:a16="http://schemas.microsoft.com/office/drawing/2014/main" id="{3003AE42-023F-4D5D-9458-4D303609DCEC}"/>
            </a:ext>
          </a:extLst>
        </xdr:cNvPr>
        <xdr:cNvSpPr/>
      </xdr:nvSpPr>
      <xdr:spPr>
        <a:xfrm>
          <a:off x="133350"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638175</xdr:colOff>
      <xdr:row>0</xdr:row>
      <xdr:rowOff>1438275</xdr:rowOff>
    </xdr:from>
    <xdr:to>
      <xdr:col>7</xdr:col>
      <xdr:colOff>1230591</xdr:colOff>
      <xdr:row>0</xdr:row>
      <xdr:rowOff>1784183</xdr:rowOff>
    </xdr:to>
    <xdr:sp macro="[0]!GoToNextSheet" textlink="">
      <xdr:nvSpPr>
        <xdr:cNvPr id="6" name="Rectangle: Rounded Corners 5">
          <a:extLst>
            <a:ext uri="{FF2B5EF4-FFF2-40B4-BE49-F238E27FC236}">
              <a16:creationId xmlns:a16="http://schemas.microsoft.com/office/drawing/2014/main" id="{BA3E1C9A-41AF-42C1-B26B-3A859048DCB6}"/>
            </a:ext>
          </a:extLst>
        </xdr:cNvPr>
        <xdr:cNvSpPr/>
      </xdr:nvSpPr>
      <xdr:spPr>
        <a:xfrm>
          <a:off x="8067675" y="1438275"/>
          <a:ext cx="1973541"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Fertilizer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666548</xdr:colOff>
      <xdr:row>0</xdr:row>
      <xdr:rowOff>1451961</xdr:rowOff>
    </xdr:from>
    <xdr:to>
      <xdr:col>2</xdr:col>
      <xdr:colOff>1130098</xdr:colOff>
      <xdr:row>0</xdr:row>
      <xdr:rowOff>1794861</xdr:rowOff>
    </xdr:to>
    <xdr:sp macro="[0]!ShowColumnSelector" textlink="">
      <xdr:nvSpPr>
        <xdr:cNvPr id="2" name="Rectangle: Rounded Corners 1">
          <a:extLst>
            <a:ext uri="{FF2B5EF4-FFF2-40B4-BE49-F238E27FC236}">
              <a16:creationId xmlns:a16="http://schemas.microsoft.com/office/drawing/2014/main" id="{C636F6CE-5994-441D-943E-A3BFA09AD7F1}"/>
            </a:ext>
          </a:extLst>
        </xdr:cNvPr>
        <xdr:cNvSpPr/>
      </xdr:nvSpPr>
      <xdr:spPr>
        <a:xfrm>
          <a:off x="1580948"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247448</xdr:colOff>
      <xdr:row>0</xdr:row>
      <xdr:rowOff>1449421</xdr:rowOff>
    </xdr:from>
    <xdr:to>
      <xdr:col>1</xdr:col>
      <xdr:colOff>599873</xdr:colOff>
      <xdr:row>0</xdr:row>
      <xdr:rowOff>1796305</xdr:rowOff>
    </xdr:to>
    <xdr:sp macro="[0]!GoToNextSheet" textlink="">
      <xdr:nvSpPr>
        <xdr:cNvPr id="3" name="Rectangle: Rounded Corners 2">
          <a:extLst>
            <a:ext uri="{FF2B5EF4-FFF2-40B4-BE49-F238E27FC236}">
              <a16:creationId xmlns:a16="http://schemas.microsoft.com/office/drawing/2014/main" id="{F3B5E2DD-7C9D-4E91-BCDD-5E194310C8DF}"/>
            </a:ext>
          </a:extLst>
        </xdr:cNvPr>
        <xdr:cNvSpPr/>
      </xdr:nvSpPr>
      <xdr:spPr>
        <a:xfrm>
          <a:off x="116184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752273</xdr:colOff>
      <xdr:row>0</xdr:row>
      <xdr:rowOff>1449421</xdr:rowOff>
    </xdr:from>
    <xdr:to>
      <xdr:col>1</xdr:col>
      <xdr:colOff>190298</xdr:colOff>
      <xdr:row>0</xdr:row>
      <xdr:rowOff>1796305</xdr:rowOff>
    </xdr:to>
    <xdr:sp macro="[0]!GoToPreviousSheet" textlink="">
      <xdr:nvSpPr>
        <xdr:cNvPr id="4" name="Rectangle: Rounded Corners 3">
          <a:extLst>
            <a:ext uri="{FF2B5EF4-FFF2-40B4-BE49-F238E27FC236}">
              <a16:creationId xmlns:a16="http://schemas.microsoft.com/office/drawing/2014/main" id="{0AEED6B1-B044-4503-A80B-E25E17EB74FB}"/>
            </a:ext>
          </a:extLst>
        </xdr:cNvPr>
        <xdr:cNvSpPr/>
      </xdr:nvSpPr>
      <xdr:spPr>
        <a:xfrm>
          <a:off x="7522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114300</xdr:colOff>
      <xdr:row>0</xdr:row>
      <xdr:rowOff>1447800</xdr:rowOff>
    </xdr:from>
    <xdr:to>
      <xdr:col>0</xdr:col>
      <xdr:colOff>683571</xdr:colOff>
      <xdr:row>0</xdr:row>
      <xdr:rowOff>1794684</xdr:rowOff>
    </xdr:to>
    <xdr:sp macro="[0]!GoToFirstSheet" textlink="">
      <xdr:nvSpPr>
        <xdr:cNvPr id="5" name="Rectangle: Rounded Corners 4">
          <a:extLst>
            <a:ext uri="{FF2B5EF4-FFF2-40B4-BE49-F238E27FC236}">
              <a16:creationId xmlns:a16="http://schemas.microsoft.com/office/drawing/2014/main" id="{08D86B90-6C78-4763-AFD8-CDF93058899E}"/>
            </a:ext>
          </a:extLst>
        </xdr:cNvPr>
        <xdr:cNvSpPr/>
      </xdr:nvSpPr>
      <xdr:spPr>
        <a:xfrm>
          <a:off x="11430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657023</xdr:colOff>
      <xdr:row>0</xdr:row>
      <xdr:rowOff>1409700</xdr:rowOff>
    </xdr:from>
    <xdr:to>
      <xdr:col>2</xdr:col>
      <xdr:colOff>1120573</xdr:colOff>
      <xdr:row>0</xdr:row>
      <xdr:rowOff>1756761</xdr:rowOff>
    </xdr:to>
    <xdr:sp macro="[0]!ShowColumnSelector" textlink="">
      <xdr:nvSpPr>
        <xdr:cNvPr id="6" name="Rectangle: Rounded Corners 5">
          <a:extLst>
            <a:ext uri="{FF2B5EF4-FFF2-40B4-BE49-F238E27FC236}">
              <a16:creationId xmlns:a16="http://schemas.microsoft.com/office/drawing/2014/main" id="{ED86C386-038D-4EBD-BBA0-4F2AF5E63B7C}"/>
            </a:ext>
          </a:extLst>
        </xdr:cNvPr>
        <xdr:cNvSpPr/>
      </xdr:nvSpPr>
      <xdr:spPr>
        <a:xfrm>
          <a:off x="1571423" y="1409700"/>
          <a:ext cx="1177925"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237923</xdr:colOff>
      <xdr:row>0</xdr:row>
      <xdr:rowOff>1409700</xdr:rowOff>
    </xdr:from>
    <xdr:to>
      <xdr:col>1</xdr:col>
      <xdr:colOff>590348</xdr:colOff>
      <xdr:row>0</xdr:row>
      <xdr:rowOff>1758205</xdr:rowOff>
    </xdr:to>
    <xdr:sp macro="[0]!GoToNextSheet" textlink="">
      <xdr:nvSpPr>
        <xdr:cNvPr id="7" name="Rectangle: Rounded Corners 6">
          <a:extLst>
            <a:ext uri="{FF2B5EF4-FFF2-40B4-BE49-F238E27FC236}">
              <a16:creationId xmlns:a16="http://schemas.microsoft.com/office/drawing/2014/main" id="{65712C01-72AD-40D9-A3D8-504141F9F27A}"/>
            </a:ext>
          </a:extLst>
        </xdr:cNvPr>
        <xdr:cNvSpPr/>
      </xdr:nvSpPr>
      <xdr:spPr>
        <a:xfrm>
          <a:off x="1152323" y="14097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742748</xdr:colOff>
      <xdr:row>0</xdr:row>
      <xdr:rowOff>1409700</xdr:rowOff>
    </xdr:from>
    <xdr:to>
      <xdr:col>1</xdr:col>
      <xdr:colOff>180773</xdr:colOff>
      <xdr:row>0</xdr:row>
      <xdr:rowOff>1758205</xdr:rowOff>
    </xdr:to>
    <xdr:sp macro="[0]!GoToPreviousSheet" textlink="">
      <xdr:nvSpPr>
        <xdr:cNvPr id="8" name="Rectangle: Rounded Corners 7">
          <a:extLst>
            <a:ext uri="{FF2B5EF4-FFF2-40B4-BE49-F238E27FC236}">
              <a16:creationId xmlns:a16="http://schemas.microsoft.com/office/drawing/2014/main" id="{0A34DEE7-2AAD-4D3D-A6FF-28353019CBBB}"/>
            </a:ext>
          </a:extLst>
        </xdr:cNvPr>
        <xdr:cNvSpPr/>
      </xdr:nvSpPr>
      <xdr:spPr>
        <a:xfrm>
          <a:off x="742748" y="14097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104775</xdr:colOff>
      <xdr:row>0</xdr:row>
      <xdr:rowOff>1409700</xdr:rowOff>
    </xdr:from>
    <xdr:to>
      <xdr:col>0</xdr:col>
      <xdr:colOff>674046</xdr:colOff>
      <xdr:row>0</xdr:row>
      <xdr:rowOff>1756584</xdr:rowOff>
    </xdr:to>
    <xdr:sp macro="[0]!GoToFirstSheet" textlink="">
      <xdr:nvSpPr>
        <xdr:cNvPr id="9" name="Rectangle: Rounded Corners 8">
          <a:extLst>
            <a:ext uri="{FF2B5EF4-FFF2-40B4-BE49-F238E27FC236}">
              <a16:creationId xmlns:a16="http://schemas.microsoft.com/office/drawing/2014/main" id="{97530DB7-DA85-4A59-B11D-DA13CCED76C2}"/>
            </a:ext>
          </a:extLst>
        </xdr:cNvPr>
        <xdr:cNvSpPr/>
      </xdr:nvSpPr>
      <xdr:spPr>
        <a:xfrm>
          <a:off x="104775" y="14097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650711</xdr:colOff>
      <xdr:row>0</xdr:row>
      <xdr:rowOff>1409700</xdr:rowOff>
    </xdr:from>
    <xdr:to>
      <xdr:col>7</xdr:col>
      <xdr:colOff>1243127</xdr:colOff>
      <xdr:row>0</xdr:row>
      <xdr:rowOff>1755608</xdr:rowOff>
    </xdr:to>
    <xdr:sp macro="[0]!GoToNextSheet" textlink="">
      <xdr:nvSpPr>
        <xdr:cNvPr id="2" name="Rectangle: Rounded Corners 1">
          <a:extLst>
            <a:ext uri="{FF2B5EF4-FFF2-40B4-BE49-F238E27FC236}">
              <a16:creationId xmlns:a16="http://schemas.microsoft.com/office/drawing/2014/main" id="{8C8E3BC7-A298-464C-B314-F6817EA93B41}"/>
            </a:ext>
          </a:extLst>
        </xdr:cNvPr>
        <xdr:cNvSpPr/>
      </xdr:nvSpPr>
      <xdr:spPr>
        <a:xfrm>
          <a:off x="7797745" y="1409700"/>
          <a:ext cx="1971899"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666548</xdr:colOff>
      <xdr:row>0</xdr:row>
      <xdr:rowOff>1442436</xdr:rowOff>
    </xdr:from>
    <xdr:to>
      <xdr:col>2</xdr:col>
      <xdr:colOff>1130098</xdr:colOff>
      <xdr:row>0</xdr:row>
      <xdr:rowOff>1785336</xdr:rowOff>
    </xdr:to>
    <xdr:sp macro="[0]!ShowColumnSelector" textlink="">
      <xdr:nvSpPr>
        <xdr:cNvPr id="2" name="Rectangle: Rounded Corners 1">
          <a:extLst>
            <a:ext uri="{FF2B5EF4-FFF2-40B4-BE49-F238E27FC236}">
              <a16:creationId xmlns:a16="http://schemas.microsoft.com/office/drawing/2014/main" id="{B9AF0FAF-B12A-4640-82D7-A86F5239C848}"/>
            </a:ext>
          </a:extLst>
        </xdr:cNvPr>
        <xdr:cNvSpPr/>
      </xdr:nvSpPr>
      <xdr:spPr>
        <a:xfrm>
          <a:off x="1580948"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247448</xdr:colOff>
      <xdr:row>0</xdr:row>
      <xdr:rowOff>1439896</xdr:rowOff>
    </xdr:from>
    <xdr:to>
      <xdr:col>1</xdr:col>
      <xdr:colOff>599873</xdr:colOff>
      <xdr:row>0</xdr:row>
      <xdr:rowOff>1786780</xdr:rowOff>
    </xdr:to>
    <xdr:sp macro="[0]!GoToNextSheet" textlink="">
      <xdr:nvSpPr>
        <xdr:cNvPr id="3" name="Rectangle: Rounded Corners 2">
          <a:extLst>
            <a:ext uri="{FF2B5EF4-FFF2-40B4-BE49-F238E27FC236}">
              <a16:creationId xmlns:a16="http://schemas.microsoft.com/office/drawing/2014/main" id="{7A0BD8E3-0C62-4725-907C-7C4D0ECC6205}"/>
            </a:ext>
          </a:extLst>
        </xdr:cNvPr>
        <xdr:cNvSpPr/>
      </xdr:nvSpPr>
      <xdr:spPr>
        <a:xfrm>
          <a:off x="1161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752273</xdr:colOff>
      <xdr:row>0</xdr:row>
      <xdr:rowOff>1439896</xdr:rowOff>
    </xdr:from>
    <xdr:to>
      <xdr:col>1</xdr:col>
      <xdr:colOff>190298</xdr:colOff>
      <xdr:row>0</xdr:row>
      <xdr:rowOff>1786780</xdr:rowOff>
    </xdr:to>
    <xdr:sp macro="[0]!GoToPreviousSheet" textlink="">
      <xdr:nvSpPr>
        <xdr:cNvPr id="4" name="Rectangle: Rounded Corners 3">
          <a:extLst>
            <a:ext uri="{FF2B5EF4-FFF2-40B4-BE49-F238E27FC236}">
              <a16:creationId xmlns:a16="http://schemas.microsoft.com/office/drawing/2014/main" id="{722FB128-DABB-4DD5-AD24-20F3883E950C}"/>
            </a:ext>
          </a:extLst>
        </xdr:cNvPr>
        <xdr:cNvSpPr/>
      </xdr:nvSpPr>
      <xdr:spPr>
        <a:xfrm>
          <a:off x="7522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114300</xdr:colOff>
      <xdr:row>0</xdr:row>
      <xdr:rowOff>1438275</xdr:rowOff>
    </xdr:from>
    <xdr:to>
      <xdr:col>0</xdr:col>
      <xdr:colOff>683571</xdr:colOff>
      <xdr:row>0</xdr:row>
      <xdr:rowOff>1785159</xdr:rowOff>
    </xdr:to>
    <xdr:sp macro="[0]!GoToFirstSheet" textlink="">
      <xdr:nvSpPr>
        <xdr:cNvPr id="5" name="Rectangle: Rounded Corners 4">
          <a:extLst>
            <a:ext uri="{FF2B5EF4-FFF2-40B4-BE49-F238E27FC236}">
              <a16:creationId xmlns:a16="http://schemas.microsoft.com/office/drawing/2014/main" id="{51DC4FF2-16F3-4041-B779-1CBDC89EB503}"/>
            </a:ext>
          </a:extLst>
        </xdr:cNvPr>
        <xdr:cNvSpPr/>
      </xdr:nvSpPr>
      <xdr:spPr>
        <a:xfrm>
          <a:off x="114300"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9D615FB7-CCE6-4FB5-B898-871B7CFEE4B6}"/>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1B6804B4-EEDA-420B-9540-DB436E5BD3A7}"/>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A2E75EB6-1335-43D1-BF2E-55D9D69AAB21}"/>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F0602FA7-2ED1-4BB5-970A-F71A3F6A0B2C}"/>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666742</xdr:colOff>
      <xdr:row>0</xdr:row>
      <xdr:rowOff>1447800</xdr:rowOff>
    </xdr:from>
    <xdr:to>
      <xdr:col>7</xdr:col>
      <xdr:colOff>1259158</xdr:colOff>
      <xdr:row>0</xdr:row>
      <xdr:rowOff>1793708</xdr:rowOff>
    </xdr:to>
    <xdr:sp macro="[0]!GoToNextSheet" textlink="">
      <xdr:nvSpPr>
        <xdr:cNvPr id="6" name="Rectangle: Rounded Corners 5">
          <a:extLst>
            <a:ext uri="{FF2B5EF4-FFF2-40B4-BE49-F238E27FC236}">
              <a16:creationId xmlns:a16="http://schemas.microsoft.com/office/drawing/2014/main" id="{E4F2E17D-A5F4-45AD-81C7-A09CF5EC0A6C}"/>
            </a:ext>
          </a:extLst>
        </xdr:cNvPr>
        <xdr:cNvSpPr/>
      </xdr:nvSpPr>
      <xdr:spPr>
        <a:xfrm>
          <a:off x="7839800" y="1447800"/>
          <a:ext cx="1977204"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Harvest events</a:t>
          </a:r>
          <a:endParaRPr lang="en-DE" sz="1100" kern="1200">
            <a:solidFill>
              <a:schemeClr val="lt1"/>
            </a:solidFill>
            <a:latin typeface="+mn-lt"/>
            <a:ea typeface="+mn-ea"/>
            <a:cs typeface="+mn-cs"/>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685598</xdr:colOff>
      <xdr:row>0</xdr:row>
      <xdr:rowOff>1432911</xdr:rowOff>
    </xdr:from>
    <xdr:to>
      <xdr:col>2</xdr:col>
      <xdr:colOff>1149148</xdr:colOff>
      <xdr:row>0</xdr:row>
      <xdr:rowOff>1775811</xdr:rowOff>
    </xdr:to>
    <xdr:sp macro="[0]!ShowColumnSelector" textlink="">
      <xdr:nvSpPr>
        <xdr:cNvPr id="2" name="Rectangle: Rounded Corners 1">
          <a:extLst>
            <a:ext uri="{FF2B5EF4-FFF2-40B4-BE49-F238E27FC236}">
              <a16:creationId xmlns:a16="http://schemas.microsoft.com/office/drawing/2014/main" id="{99E27027-73B5-445C-A7D4-B8CBAD6DB0AE}"/>
            </a:ext>
          </a:extLst>
        </xdr:cNvPr>
        <xdr:cNvSpPr/>
      </xdr:nvSpPr>
      <xdr:spPr>
        <a:xfrm>
          <a:off x="1599998" y="143291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266498</xdr:colOff>
      <xdr:row>0</xdr:row>
      <xdr:rowOff>1430371</xdr:rowOff>
    </xdr:from>
    <xdr:to>
      <xdr:col>1</xdr:col>
      <xdr:colOff>618923</xdr:colOff>
      <xdr:row>0</xdr:row>
      <xdr:rowOff>1777255</xdr:rowOff>
    </xdr:to>
    <xdr:sp macro="[0]!GoToNextSheet" textlink="">
      <xdr:nvSpPr>
        <xdr:cNvPr id="3" name="Rectangle: Rounded Corners 2">
          <a:extLst>
            <a:ext uri="{FF2B5EF4-FFF2-40B4-BE49-F238E27FC236}">
              <a16:creationId xmlns:a16="http://schemas.microsoft.com/office/drawing/2014/main" id="{EB976E44-37B9-4B22-9ACA-7CEFDE90FE62}"/>
            </a:ext>
          </a:extLst>
        </xdr:cNvPr>
        <xdr:cNvSpPr/>
      </xdr:nvSpPr>
      <xdr:spPr>
        <a:xfrm>
          <a:off x="1180898"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771323</xdr:colOff>
      <xdr:row>0</xdr:row>
      <xdr:rowOff>1430371</xdr:rowOff>
    </xdr:from>
    <xdr:to>
      <xdr:col>1</xdr:col>
      <xdr:colOff>209348</xdr:colOff>
      <xdr:row>0</xdr:row>
      <xdr:rowOff>1777255</xdr:rowOff>
    </xdr:to>
    <xdr:sp macro="[0]!GoToPreviousSheet" textlink="">
      <xdr:nvSpPr>
        <xdr:cNvPr id="4" name="Rectangle: Rounded Corners 3">
          <a:extLst>
            <a:ext uri="{FF2B5EF4-FFF2-40B4-BE49-F238E27FC236}">
              <a16:creationId xmlns:a16="http://schemas.microsoft.com/office/drawing/2014/main" id="{D6E36058-009B-4529-BBAA-8B0134399F7F}"/>
            </a:ext>
          </a:extLst>
        </xdr:cNvPr>
        <xdr:cNvSpPr/>
      </xdr:nvSpPr>
      <xdr:spPr>
        <a:xfrm>
          <a:off x="77132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133350</xdr:colOff>
      <xdr:row>0</xdr:row>
      <xdr:rowOff>1428750</xdr:rowOff>
    </xdr:from>
    <xdr:to>
      <xdr:col>0</xdr:col>
      <xdr:colOff>702621</xdr:colOff>
      <xdr:row>0</xdr:row>
      <xdr:rowOff>1775634</xdr:rowOff>
    </xdr:to>
    <xdr:sp macro="[0]!GoToFirstSheet" textlink="">
      <xdr:nvSpPr>
        <xdr:cNvPr id="5" name="Rectangle: Rounded Corners 4">
          <a:extLst>
            <a:ext uri="{FF2B5EF4-FFF2-40B4-BE49-F238E27FC236}">
              <a16:creationId xmlns:a16="http://schemas.microsoft.com/office/drawing/2014/main" id="{1196C5FC-FA25-43FC-9E85-14D82AEB886C}"/>
            </a:ext>
          </a:extLst>
        </xdr:cNvPr>
        <xdr:cNvSpPr/>
      </xdr:nvSpPr>
      <xdr:spPr>
        <a:xfrm>
          <a:off x="133350" y="142875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663373</xdr:colOff>
      <xdr:row>0</xdr:row>
      <xdr:rowOff>1811867</xdr:rowOff>
    </xdr:from>
    <xdr:to>
      <xdr:col>2</xdr:col>
      <xdr:colOff>1121632</xdr:colOff>
      <xdr:row>0</xdr:row>
      <xdr:rowOff>2158928</xdr:rowOff>
    </xdr:to>
    <xdr:sp macro="[0]!ShowColumnSelector" textlink="">
      <xdr:nvSpPr>
        <xdr:cNvPr id="2" name="Rectangle: Rounded Corners 1">
          <a:extLst>
            <a:ext uri="{FF2B5EF4-FFF2-40B4-BE49-F238E27FC236}">
              <a16:creationId xmlns:a16="http://schemas.microsoft.com/office/drawing/2014/main" id="{49639D54-BEE9-467E-9607-B23CA6BBB8CC}"/>
            </a:ext>
          </a:extLst>
        </xdr:cNvPr>
        <xdr:cNvSpPr/>
      </xdr:nvSpPr>
      <xdr:spPr>
        <a:xfrm>
          <a:off x="1577773" y="1811867"/>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244273</xdr:colOff>
      <xdr:row>0</xdr:row>
      <xdr:rowOff>1811867</xdr:rowOff>
    </xdr:from>
    <xdr:to>
      <xdr:col>1</xdr:col>
      <xdr:colOff>596698</xdr:colOff>
      <xdr:row>0</xdr:row>
      <xdr:rowOff>2160372</xdr:rowOff>
    </xdr:to>
    <xdr:sp macro="[0]!GoToNextSheet" textlink="">
      <xdr:nvSpPr>
        <xdr:cNvPr id="3" name="Rectangle: Rounded Corners 2">
          <a:extLst>
            <a:ext uri="{FF2B5EF4-FFF2-40B4-BE49-F238E27FC236}">
              <a16:creationId xmlns:a16="http://schemas.microsoft.com/office/drawing/2014/main" id="{B14FCF13-9616-4F41-9E7F-CA47EC2EBE23}"/>
            </a:ext>
          </a:extLst>
        </xdr:cNvPr>
        <xdr:cNvSpPr/>
      </xdr:nvSpPr>
      <xdr:spPr>
        <a:xfrm>
          <a:off x="1158673" y="1811867"/>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744865</xdr:colOff>
      <xdr:row>0</xdr:row>
      <xdr:rowOff>1811867</xdr:rowOff>
    </xdr:from>
    <xdr:to>
      <xdr:col>1</xdr:col>
      <xdr:colOff>187123</xdr:colOff>
      <xdr:row>0</xdr:row>
      <xdr:rowOff>2160372</xdr:rowOff>
    </xdr:to>
    <xdr:sp macro="[0]!GoToPreviousSheet" textlink="">
      <xdr:nvSpPr>
        <xdr:cNvPr id="4" name="Rectangle: Rounded Corners 3">
          <a:extLst>
            <a:ext uri="{FF2B5EF4-FFF2-40B4-BE49-F238E27FC236}">
              <a16:creationId xmlns:a16="http://schemas.microsoft.com/office/drawing/2014/main" id="{351CA263-44E6-4E69-B568-7CB6058AFA50}"/>
            </a:ext>
          </a:extLst>
        </xdr:cNvPr>
        <xdr:cNvSpPr/>
      </xdr:nvSpPr>
      <xdr:spPr>
        <a:xfrm>
          <a:off x="744865" y="1811867"/>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106892</xdr:colOff>
      <xdr:row>0</xdr:row>
      <xdr:rowOff>1811867</xdr:rowOff>
    </xdr:from>
    <xdr:to>
      <xdr:col>0</xdr:col>
      <xdr:colOff>676163</xdr:colOff>
      <xdr:row>0</xdr:row>
      <xdr:rowOff>2158751</xdr:rowOff>
    </xdr:to>
    <xdr:sp macro="[0]!GoToFirstSheet" textlink="">
      <xdr:nvSpPr>
        <xdr:cNvPr id="5" name="Rectangle: Rounded Corners 4">
          <a:extLst>
            <a:ext uri="{FF2B5EF4-FFF2-40B4-BE49-F238E27FC236}">
              <a16:creationId xmlns:a16="http://schemas.microsoft.com/office/drawing/2014/main" id="{0FAD3DCA-6292-446A-B548-99FD29B3280D}"/>
            </a:ext>
          </a:extLst>
        </xdr:cNvPr>
        <xdr:cNvSpPr/>
      </xdr:nvSpPr>
      <xdr:spPr>
        <a:xfrm>
          <a:off x="106892" y="1811867"/>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661256</xdr:colOff>
      <xdr:row>0</xdr:row>
      <xdr:rowOff>1438275</xdr:rowOff>
    </xdr:from>
    <xdr:to>
      <xdr:col>2</xdr:col>
      <xdr:colOff>919490</xdr:colOff>
      <xdr:row>0</xdr:row>
      <xdr:rowOff>1785336</xdr:rowOff>
    </xdr:to>
    <xdr:sp macro="[0]!ShowColumnSelector" textlink="">
      <xdr:nvSpPr>
        <xdr:cNvPr id="2" name="Rectangle: Rounded Corners 1">
          <a:extLst>
            <a:ext uri="{FF2B5EF4-FFF2-40B4-BE49-F238E27FC236}">
              <a16:creationId xmlns:a16="http://schemas.microsoft.com/office/drawing/2014/main" id="{A66442BF-EC53-4B2F-8452-0DE9BD8A132C}"/>
            </a:ext>
          </a:extLst>
        </xdr:cNvPr>
        <xdr:cNvSpPr/>
      </xdr:nvSpPr>
      <xdr:spPr>
        <a:xfrm>
          <a:off x="1575656"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0</xdr:col>
      <xdr:colOff>104775</xdr:colOff>
      <xdr:row>0</xdr:row>
      <xdr:rowOff>1438275</xdr:rowOff>
    </xdr:from>
    <xdr:to>
      <xdr:col>0</xdr:col>
      <xdr:colOff>674046</xdr:colOff>
      <xdr:row>0</xdr:row>
      <xdr:rowOff>1785159</xdr:rowOff>
    </xdr:to>
    <xdr:sp macro="[0]!GoToFirstSheet" textlink="">
      <xdr:nvSpPr>
        <xdr:cNvPr id="5" name="Rectangle: Rounded Corners 4">
          <a:extLst>
            <a:ext uri="{FF2B5EF4-FFF2-40B4-BE49-F238E27FC236}">
              <a16:creationId xmlns:a16="http://schemas.microsoft.com/office/drawing/2014/main" id="{80126017-6918-4073-9834-4FB0342978A4}"/>
            </a:ext>
          </a:extLst>
        </xdr:cNvPr>
        <xdr:cNvSpPr/>
      </xdr:nvSpPr>
      <xdr:spPr>
        <a:xfrm>
          <a:off x="1047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242358</xdr:colOff>
      <xdr:row>0</xdr:row>
      <xdr:rowOff>1438275</xdr:rowOff>
    </xdr:from>
    <xdr:to>
      <xdr:col>1</xdr:col>
      <xdr:colOff>594783</xdr:colOff>
      <xdr:row>0</xdr:row>
      <xdr:rowOff>1786780</xdr:rowOff>
    </xdr:to>
    <xdr:sp macro="[0]!GoToNextSheet" textlink="">
      <xdr:nvSpPr>
        <xdr:cNvPr id="6" name="Rectangle: Rounded Corners 5">
          <a:extLst>
            <a:ext uri="{FF2B5EF4-FFF2-40B4-BE49-F238E27FC236}">
              <a16:creationId xmlns:a16="http://schemas.microsoft.com/office/drawing/2014/main" id="{16F86237-3FAF-4B83-A2AC-32D3BB33E86A}"/>
            </a:ext>
          </a:extLst>
        </xdr:cNvPr>
        <xdr:cNvSpPr/>
      </xdr:nvSpPr>
      <xdr:spPr>
        <a:xfrm>
          <a:off x="115675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742950</xdr:colOff>
      <xdr:row>0</xdr:row>
      <xdr:rowOff>1438275</xdr:rowOff>
    </xdr:from>
    <xdr:to>
      <xdr:col>1</xdr:col>
      <xdr:colOff>185208</xdr:colOff>
      <xdr:row>0</xdr:row>
      <xdr:rowOff>1786780</xdr:rowOff>
    </xdr:to>
    <xdr:sp macro="[0]!GoToPreviousSheet" textlink="">
      <xdr:nvSpPr>
        <xdr:cNvPr id="7" name="Rectangle: Rounded Corners 6">
          <a:extLst>
            <a:ext uri="{FF2B5EF4-FFF2-40B4-BE49-F238E27FC236}">
              <a16:creationId xmlns:a16="http://schemas.microsoft.com/office/drawing/2014/main" id="{E1FC68B1-A4C2-4269-BF5D-EB438A6C531E}"/>
            </a:ext>
          </a:extLst>
        </xdr:cNvPr>
        <xdr:cNvSpPr/>
      </xdr:nvSpPr>
      <xdr:spPr>
        <a:xfrm>
          <a:off x="74295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1</xdr:col>
      <xdr:colOff>661256</xdr:colOff>
      <xdr:row>0</xdr:row>
      <xdr:rowOff>1447800</xdr:rowOff>
    </xdr:from>
    <xdr:to>
      <xdr:col>2</xdr:col>
      <xdr:colOff>452765</xdr:colOff>
      <xdr:row>0</xdr:row>
      <xdr:rowOff>1794861</xdr:rowOff>
    </xdr:to>
    <xdr:sp macro="[0]!ShowColumnSelector" textlink="">
      <xdr:nvSpPr>
        <xdr:cNvPr id="12" name="Rectangle: Rounded Corners 11">
          <a:extLst>
            <a:ext uri="{FF2B5EF4-FFF2-40B4-BE49-F238E27FC236}">
              <a16:creationId xmlns:a16="http://schemas.microsoft.com/office/drawing/2014/main" id="{5F81A067-C1CD-4331-BAE5-F6E1B36540FF}"/>
            </a:ext>
          </a:extLst>
        </xdr:cNvPr>
        <xdr:cNvSpPr/>
      </xdr:nvSpPr>
      <xdr:spPr>
        <a:xfrm>
          <a:off x="1575656"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0</xdr:col>
      <xdr:colOff>104775</xdr:colOff>
      <xdr:row>0</xdr:row>
      <xdr:rowOff>1447800</xdr:rowOff>
    </xdr:from>
    <xdr:to>
      <xdr:col>0</xdr:col>
      <xdr:colOff>674046</xdr:colOff>
      <xdr:row>0</xdr:row>
      <xdr:rowOff>1794684</xdr:rowOff>
    </xdr:to>
    <xdr:sp macro="[0]!GoToFirstSheet" textlink="">
      <xdr:nvSpPr>
        <xdr:cNvPr id="13" name="Rectangle: Rounded Corners 12">
          <a:extLst>
            <a:ext uri="{FF2B5EF4-FFF2-40B4-BE49-F238E27FC236}">
              <a16:creationId xmlns:a16="http://schemas.microsoft.com/office/drawing/2014/main" id="{570BA089-7A45-4B4A-9AB9-471F7B3900D4}"/>
            </a:ext>
          </a:extLst>
        </xdr:cNvPr>
        <xdr:cNvSpPr/>
      </xdr:nvSpPr>
      <xdr:spPr>
        <a:xfrm>
          <a:off x="10477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242358</xdr:colOff>
      <xdr:row>0</xdr:row>
      <xdr:rowOff>1447800</xdr:rowOff>
    </xdr:from>
    <xdr:to>
      <xdr:col>1</xdr:col>
      <xdr:colOff>594783</xdr:colOff>
      <xdr:row>0</xdr:row>
      <xdr:rowOff>1796305</xdr:rowOff>
    </xdr:to>
    <xdr:sp macro="[0]!GoToNextSheet" textlink="">
      <xdr:nvSpPr>
        <xdr:cNvPr id="14" name="Rectangle: Rounded Corners 13">
          <a:extLst>
            <a:ext uri="{FF2B5EF4-FFF2-40B4-BE49-F238E27FC236}">
              <a16:creationId xmlns:a16="http://schemas.microsoft.com/office/drawing/2014/main" id="{DC9885B0-255C-452D-A24E-60DE7DF896B5}"/>
            </a:ext>
          </a:extLst>
        </xdr:cNvPr>
        <xdr:cNvSpPr/>
      </xdr:nvSpPr>
      <xdr:spPr>
        <a:xfrm>
          <a:off x="1156758"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742950</xdr:colOff>
      <xdr:row>0</xdr:row>
      <xdr:rowOff>1447800</xdr:rowOff>
    </xdr:from>
    <xdr:to>
      <xdr:col>1</xdr:col>
      <xdr:colOff>185208</xdr:colOff>
      <xdr:row>0</xdr:row>
      <xdr:rowOff>1796305</xdr:rowOff>
    </xdr:to>
    <xdr:sp macro="[0]!GoToPreviousSheet" textlink="">
      <xdr:nvSpPr>
        <xdr:cNvPr id="15" name="Rectangle: Rounded Corners 14">
          <a:extLst>
            <a:ext uri="{FF2B5EF4-FFF2-40B4-BE49-F238E27FC236}">
              <a16:creationId xmlns:a16="http://schemas.microsoft.com/office/drawing/2014/main" id="{44D54C28-E86E-4287-9B3D-43BEE7FDAB02}"/>
            </a:ext>
          </a:extLst>
        </xdr:cNvPr>
        <xdr:cNvSpPr/>
      </xdr:nvSpPr>
      <xdr:spPr>
        <a:xfrm>
          <a:off x="742950"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670781</xdr:colOff>
      <xdr:row>0</xdr:row>
      <xdr:rowOff>1438275</xdr:rowOff>
    </xdr:from>
    <xdr:to>
      <xdr:col>2</xdr:col>
      <xdr:colOff>728990</xdr:colOff>
      <xdr:row>0</xdr:row>
      <xdr:rowOff>1785336</xdr:rowOff>
    </xdr:to>
    <xdr:sp macro="[0]!ShowColumnSelector" textlink="">
      <xdr:nvSpPr>
        <xdr:cNvPr id="2" name="Rectangle: Rounded Corners 1">
          <a:extLst>
            <a:ext uri="{FF2B5EF4-FFF2-40B4-BE49-F238E27FC236}">
              <a16:creationId xmlns:a16="http://schemas.microsoft.com/office/drawing/2014/main" id="{9E03684F-7589-465F-8DF8-2CF6203BA8F7}"/>
            </a:ext>
          </a:extLst>
        </xdr:cNvPr>
        <xdr:cNvSpPr/>
      </xdr:nvSpPr>
      <xdr:spPr>
        <a:xfrm>
          <a:off x="1585181"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0</xdr:col>
      <xdr:colOff>114300</xdr:colOff>
      <xdr:row>0</xdr:row>
      <xdr:rowOff>1438275</xdr:rowOff>
    </xdr:from>
    <xdr:to>
      <xdr:col>0</xdr:col>
      <xdr:colOff>683571</xdr:colOff>
      <xdr:row>0</xdr:row>
      <xdr:rowOff>1785159</xdr:rowOff>
    </xdr:to>
    <xdr:sp macro="[0]!GoToFirstSheet" textlink="">
      <xdr:nvSpPr>
        <xdr:cNvPr id="3" name="Rectangle: Rounded Corners 2">
          <a:extLst>
            <a:ext uri="{FF2B5EF4-FFF2-40B4-BE49-F238E27FC236}">
              <a16:creationId xmlns:a16="http://schemas.microsoft.com/office/drawing/2014/main" id="{3746B5CC-39FC-4A03-87FE-542BD0BA7C6F}"/>
            </a:ext>
          </a:extLst>
        </xdr:cNvPr>
        <xdr:cNvSpPr/>
      </xdr:nvSpPr>
      <xdr:spPr>
        <a:xfrm>
          <a:off x="114300"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251883</xdr:colOff>
      <xdr:row>0</xdr:row>
      <xdr:rowOff>1438275</xdr:rowOff>
    </xdr:from>
    <xdr:to>
      <xdr:col>1</xdr:col>
      <xdr:colOff>604308</xdr:colOff>
      <xdr:row>0</xdr:row>
      <xdr:rowOff>1786780</xdr:rowOff>
    </xdr:to>
    <xdr:sp macro="[0]!GoToNextSheet" textlink="">
      <xdr:nvSpPr>
        <xdr:cNvPr id="4" name="Rectangle: Rounded Corners 3">
          <a:extLst>
            <a:ext uri="{FF2B5EF4-FFF2-40B4-BE49-F238E27FC236}">
              <a16:creationId xmlns:a16="http://schemas.microsoft.com/office/drawing/2014/main" id="{FC7F2C04-010D-4E50-9CEA-76D71B8248ED}"/>
            </a:ext>
          </a:extLst>
        </xdr:cNvPr>
        <xdr:cNvSpPr/>
      </xdr:nvSpPr>
      <xdr:spPr>
        <a:xfrm>
          <a:off x="1166283"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752475</xdr:colOff>
      <xdr:row>0</xdr:row>
      <xdr:rowOff>1438275</xdr:rowOff>
    </xdr:from>
    <xdr:to>
      <xdr:col>1</xdr:col>
      <xdr:colOff>194733</xdr:colOff>
      <xdr:row>0</xdr:row>
      <xdr:rowOff>1786780</xdr:rowOff>
    </xdr:to>
    <xdr:sp macro="[0]!GoToPreviousSheet" textlink="">
      <xdr:nvSpPr>
        <xdr:cNvPr id="5" name="Rectangle: Rounded Corners 4">
          <a:extLst>
            <a:ext uri="{FF2B5EF4-FFF2-40B4-BE49-F238E27FC236}">
              <a16:creationId xmlns:a16="http://schemas.microsoft.com/office/drawing/2014/main" id="{DE02BF72-75E4-4D93-9635-25FEEC910D3F}"/>
            </a:ext>
          </a:extLst>
        </xdr:cNvPr>
        <xdr:cNvSpPr/>
      </xdr:nvSpPr>
      <xdr:spPr>
        <a:xfrm>
          <a:off x="752475"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651731</xdr:colOff>
      <xdr:row>0</xdr:row>
      <xdr:rowOff>1457325</xdr:rowOff>
    </xdr:from>
    <xdr:to>
      <xdr:col>2</xdr:col>
      <xdr:colOff>443240</xdr:colOff>
      <xdr:row>0</xdr:row>
      <xdr:rowOff>1804386</xdr:rowOff>
    </xdr:to>
    <xdr:sp macro="[0]!ShowColumnSelector" textlink="">
      <xdr:nvSpPr>
        <xdr:cNvPr id="2" name="Rectangle: Rounded Corners 1">
          <a:extLst>
            <a:ext uri="{FF2B5EF4-FFF2-40B4-BE49-F238E27FC236}">
              <a16:creationId xmlns:a16="http://schemas.microsoft.com/office/drawing/2014/main" id="{9F0456D3-9D19-4C07-8E84-CF34A7FB43C2}"/>
            </a:ext>
          </a:extLst>
        </xdr:cNvPr>
        <xdr:cNvSpPr/>
      </xdr:nvSpPr>
      <xdr:spPr>
        <a:xfrm>
          <a:off x="1566131" y="145732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0</xdr:col>
      <xdr:colOff>95250</xdr:colOff>
      <xdr:row>0</xdr:row>
      <xdr:rowOff>1457325</xdr:rowOff>
    </xdr:from>
    <xdr:to>
      <xdr:col>0</xdr:col>
      <xdr:colOff>664521</xdr:colOff>
      <xdr:row>0</xdr:row>
      <xdr:rowOff>1804209</xdr:rowOff>
    </xdr:to>
    <xdr:sp macro="[0]!GoToFirstSheet" textlink="">
      <xdr:nvSpPr>
        <xdr:cNvPr id="3" name="Rectangle: Rounded Corners 2">
          <a:extLst>
            <a:ext uri="{FF2B5EF4-FFF2-40B4-BE49-F238E27FC236}">
              <a16:creationId xmlns:a16="http://schemas.microsoft.com/office/drawing/2014/main" id="{FC87027D-2AD2-4040-9DAD-68847F5C87E3}"/>
            </a:ext>
          </a:extLst>
        </xdr:cNvPr>
        <xdr:cNvSpPr/>
      </xdr:nvSpPr>
      <xdr:spPr>
        <a:xfrm>
          <a:off x="95250" y="145732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232833</xdr:colOff>
      <xdr:row>0</xdr:row>
      <xdr:rowOff>1457325</xdr:rowOff>
    </xdr:from>
    <xdr:to>
      <xdr:col>1</xdr:col>
      <xdr:colOff>585258</xdr:colOff>
      <xdr:row>0</xdr:row>
      <xdr:rowOff>1805830</xdr:rowOff>
    </xdr:to>
    <xdr:sp macro="[0]!GoToNextSheet" textlink="">
      <xdr:nvSpPr>
        <xdr:cNvPr id="4" name="Rectangle: Rounded Corners 3">
          <a:extLst>
            <a:ext uri="{FF2B5EF4-FFF2-40B4-BE49-F238E27FC236}">
              <a16:creationId xmlns:a16="http://schemas.microsoft.com/office/drawing/2014/main" id="{5A7EF49E-DA4C-448A-9B94-6D6CCEF360D1}"/>
            </a:ext>
          </a:extLst>
        </xdr:cNvPr>
        <xdr:cNvSpPr/>
      </xdr:nvSpPr>
      <xdr:spPr>
        <a:xfrm>
          <a:off x="1147233" y="145732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733425</xdr:colOff>
      <xdr:row>0</xdr:row>
      <xdr:rowOff>1457325</xdr:rowOff>
    </xdr:from>
    <xdr:to>
      <xdr:col>1</xdr:col>
      <xdr:colOff>175683</xdr:colOff>
      <xdr:row>0</xdr:row>
      <xdr:rowOff>1805830</xdr:rowOff>
    </xdr:to>
    <xdr:sp macro="[0]!GoToPreviousSheet" textlink="">
      <xdr:nvSpPr>
        <xdr:cNvPr id="5" name="Rectangle: Rounded Corners 4">
          <a:extLst>
            <a:ext uri="{FF2B5EF4-FFF2-40B4-BE49-F238E27FC236}">
              <a16:creationId xmlns:a16="http://schemas.microsoft.com/office/drawing/2014/main" id="{9E93AAD5-9275-4FDF-913D-B87FFBBB7160}"/>
            </a:ext>
          </a:extLst>
        </xdr:cNvPr>
        <xdr:cNvSpPr/>
      </xdr:nvSpPr>
      <xdr:spPr>
        <a:xfrm>
          <a:off x="733425" y="145732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642206</xdr:colOff>
      <xdr:row>0</xdr:row>
      <xdr:rowOff>1466850</xdr:rowOff>
    </xdr:from>
    <xdr:to>
      <xdr:col>2</xdr:col>
      <xdr:colOff>900440</xdr:colOff>
      <xdr:row>0</xdr:row>
      <xdr:rowOff>1813911</xdr:rowOff>
    </xdr:to>
    <xdr:sp macro="[0]!ShowColumnSelector" textlink="">
      <xdr:nvSpPr>
        <xdr:cNvPr id="2" name="Rectangle: Rounded Corners 1">
          <a:extLst>
            <a:ext uri="{FF2B5EF4-FFF2-40B4-BE49-F238E27FC236}">
              <a16:creationId xmlns:a16="http://schemas.microsoft.com/office/drawing/2014/main" id="{F88E843B-4A01-4C13-AD5B-E7407B69255A}"/>
            </a:ext>
          </a:extLst>
        </xdr:cNvPr>
        <xdr:cNvSpPr/>
      </xdr:nvSpPr>
      <xdr:spPr>
        <a:xfrm>
          <a:off x="1556606" y="146685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0</xdr:col>
      <xdr:colOff>85725</xdr:colOff>
      <xdr:row>0</xdr:row>
      <xdr:rowOff>1466850</xdr:rowOff>
    </xdr:from>
    <xdr:to>
      <xdr:col>0</xdr:col>
      <xdr:colOff>654996</xdr:colOff>
      <xdr:row>0</xdr:row>
      <xdr:rowOff>1813734</xdr:rowOff>
    </xdr:to>
    <xdr:sp macro="[0]!GoToFirstSheet" textlink="">
      <xdr:nvSpPr>
        <xdr:cNvPr id="3" name="Rectangle: Rounded Corners 2">
          <a:extLst>
            <a:ext uri="{FF2B5EF4-FFF2-40B4-BE49-F238E27FC236}">
              <a16:creationId xmlns:a16="http://schemas.microsoft.com/office/drawing/2014/main" id="{08506979-8587-40D3-8852-A99D88E0E39A}"/>
            </a:ext>
          </a:extLst>
        </xdr:cNvPr>
        <xdr:cNvSpPr/>
      </xdr:nvSpPr>
      <xdr:spPr>
        <a:xfrm>
          <a:off x="85725" y="146685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1</xdr:col>
      <xdr:colOff>223308</xdr:colOff>
      <xdr:row>0</xdr:row>
      <xdr:rowOff>1466850</xdr:rowOff>
    </xdr:from>
    <xdr:to>
      <xdr:col>1</xdr:col>
      <xdr:colOff>575733</xdr:colOff>
      <xdr:row>0</xdr:row>
      <xdr:rowOff>1815355</xdr:rowOff>
    </xdr:to>
    <xdr:sp macro="[0]!GoToNextSheet" textlink="">
      <xdr:nvSpPr>
        <xdr:cNvPr id="4" name="Rectangle: Rounded Corners 3">
          <a:extLst>
            <a:ext uri="{FF2B5EF4-FFF2-40B4-BE49-F238E27FC236}">
              <a16:creationId xmlns:a16="http://schemas.microsoft.com/office/drawing/2014/main" id="{7EDF5782-47C6-4577-9F36-F7F1EB9DAC84}"/>
            </a:ext>
          </a:extLst>
        </xdr:cNvPr>
        <xdr:cNvSpPr/>
      </xdr:nvSpPr>
      <xdr:spPr>
        <a:xfrm>
          <a:off x="1137708" y="146685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723900</xdr:colOff>
      <xdr:row>0</xdr:row>
      <xdr:rowOff>1466850</xdr:rowOff>
    </xdr:from>
    <xdr:to>
      <xdr:col>1</xdr:col>
      <xdr:colOff>166158</xdr:colOff>
      <xdr:row>0</xdr:row>
      <xdr:rowOff>1815355</xdr:rowOff>
    </xdr:to>
    <xdr:sp macro="[0]!GoToPreviousSheet" textlink="">
      <xdr:nvSpPr>
        <xdr:cNvPr id="5" name="Rectangle: Rounded Corners 4">
          <a:extLst>
            <a:ext uri="{FF2B5EF4-FFF2-40B4-BE49-F238E27FC236}">
              <a16:creationId xmlns:a16="http://schemas.microsoft.com/office/drawing/2014/main" id="{B0D587B8-B64A-4D26-91CE-21E58217C529}"/>
            </a:ext>
          </a:extLst>
        </xdr:cNvPr>
        <xdr:cNvSpPr/>
      </xdr:nvSpPr>
      <xdr:spPr>
        <a:xfrm>
          <a:off x="723900" y="146685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114300</xdr:colOff>
      <xdr:row>0</xdr:row>
      <xdr:rowOff>1447800</xdr:rowOff>
    </xdr:from>
    <xdr:to>
      <xdr:col>0</xdr:col>
      <xdr:colOff>683571</xdr:colOff>
      <xdr:row>0</xdr:row>
      <xdr:rowOff>1794684</xdr:rowOff>
    </xdr:to>
    <xdr:sp macro="[0]!GoToFirstSheet" textlink="">
      <xdr:nvSpPr>
        <xdr:cNvPr id="5" name="Rectangle: Rounded Corners 4">
          <a:extLst>
            <a:ext uri="{FF2B5EF4-FFF2-40B4-BE49-F238E27FC236}">
              <a16:creationId xmlns:a16="http://schemas.microsoft.com/office/drawing/2014/main" id="{26D26750-7FEA-480B-938D-BB7154FD951F}"/>
            </a:ext>
          </a:extLst>
        </xdr:cNvPr>
        <xdr:cNvSpPr/>
      </xdr:nvSpPr>
      <xdr:spPr>
        <a:xfrm>
          <a:off x="11430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2</xdr:col>
      <xdr:colOff>261408</xdr:colOff>
      <xdr:row>0</xdr:row>
      <xdr:rowOff>1447800</xdr:rowOff>
    </xdr:from>
    <xdr:to>
      <xdr:col>2</xdr:col>
      <xdr:colOff>613833</xdr:colOff>
      <xdr:row>0</xdr:row>
      <xdr:rowOff>1796305</xdr:rowOff>
    </xdr:to>
    <xdr:sp macro="[0]!GoToNextSheet" textlink="">
      <xdr:nvSpPr>
        <xdr:cNvPr id="3" name="Rectangle: Rounded Corners 2">
          <a:extLst>
            <a:ext uri="{FF2B5EF4-FFF2-40B4-BE49-F238E27FC236}">
              <a16:creationId xmlns:a16="http://schemas.microsoft.com/office/drawing/2014/main" id="{AD5684F2-7D66-44DF-B57A-C2C455A199E6}"/>
            </a:ext>
          </a:extLst>
        </xdr:cNvPr>
        <xdr:cNvSpPr/>
      </xdr:nvSpPr>
      <xdr:spPr>
        <a:xfrm>
          <a:off x="1175808"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1447800</xdr:rowOff>
    </xdr:from>
    <xdr:to>
      <xdr:col>2</xdr:col>
      <xdr:colOff>204258</xdr:colOff>
      <xdr:row>0</xdr:row>
      <xdr:rowOff>1796305</xdr:rowOff>
    </xdr:to>
    <xdr:sp macro="[0]!GoToPreviousSheet" textlink="">
      <xdr:nvSpPr>
        <xdr:cNvPr id="6" name="Rectangle: Rounded Corners 5">
          <a:extLst>
            <a:ext uri="{FF2B5EF4-FFF2-40B4-BE49-F238E27FC236}">
              <a16:creationId xmlns:a16="http://schemas.microsoft.com/office/drawing/2014/main" id="{B614C70F-D3BB-42A7-BBBC-E249D0CFFE9C}"/>
            </a:ext>
          </a:extLst>
        </xdr:cNvPr>
        <xdr:cNvSpPr/>
      </xdr:nvSpPr>
      <xdr:spPr>
        <a:xfrm>
          <a:off x="762000"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695325</xdr:colOff>
      <xdr:row>0</xdr:row>
      <xdr:rowOff>1447800</xdr:rowOff>
    </xdr:from>
    <xdr:to>
      <xdr:col>4</xdr:col>
      <xdr:colOff>1153584</xdr:colOff>
      <xdr:row>0</xdr:row>
      <xdr:rowOff>1794861</xdr:rowOff>
    </xdr:to>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09725"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9DBE2A55-B9AB-43CF-9414-53D8237C9F04}"/>
            </a:ext>
          </a:extLst>
        </xdr:cNvPr>
        <xdr:cNvSpPr/>
      </xdr:nvSpPr>
      <xdr:spPr>
        <a:xfrm>
          <a:off x="1185333"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71525"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3E691858-A503-49A9-80E3-990769F6C18E}"/>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704850</xdr:colOff>
      <xdr:row>0</xdr:row>
      <xdr:rowOff>1447800</xdr:rowOff>
    </xdr:from>
    <xdr:to>
      <xdr:col>4</xdr:col>
      <xdr:colOff>705909</xdr:colOff>
      <xdr:row>0</xdr:row>
      <xdr:rowOff>1794861</xdr:rowOff>
    </xdr:to>
    <xdr:sp macro="[0]!ShowColumnSelector" textlink="">
      <xdr:nvSpPr>
        <xdr:cNvPr id="6" name="Rectangle: Rounded Corners 5">
          <a:extLst>
            <a:ext uri="{FF2B5EF4-FFF2-40B4-BE49-F238E27FC236}">
              <a16:creationId xmlns:a16="http://schemas.microsoft.com/office/drawing/2014/main" id="{789F66ED-D7EE-4C04-AC0A-F59DCAEC9535}"/>
            </a:ext>
          </a:extLst>
        </xdr:cNvPr>
        <xdr:cNvSpPr/>
      </xdr:nvSpPr>
      <xdr:spPr>
        <a:xfrm>
          <a:off x="1619250"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280458</xdr:colOff>
      <xdr:row>0</xdr:row>
      <xdr:rowOff>1447800</xdr:rowOff>
    </xdr:from>
    <xdr:to>
      <xdr:col>3</xdr:col>
      <xdr:colOff>632883</xdr:colOff>
      <xdr:row>0</xdr:row>
      <xdr:rowOff>1796305</xdr:rowOff>
    </xdr:to>
    <xdr:sp macro="[0]!GoToNextSheet" textlink="">
      <xdr:nvSpPr>
        <xdr:cNvPr id="7" name="Rectangle: Rounded Corners 6">
          <a:extLst>
            <a:ext uri="{FF2B5EF4-FFF2-40B4-BE49-F238E27FC236}">
              <a16:creationId xmlns:a16="http://schemas.microsoft.com/office/drawing/2014/main" id="{B11E5EF7-2977-4F6B-84D6-04FDBC688011}"/>
            </a:ext>
          </a:extLst>
        </xdr:cNvPr>
        <xdr:cNvSpPr/>
      </xdr:nvSpPr>
      <xdr:spPr>
        <a:xfrm>
          <a:off x="1194858"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781050</xdr:colOff>
      <xdr:row>0</xdr:row>
      <xdr:rowOff>1447800</xdr:rowOff>
    </xdr:from>
    <xdr:to>
      <xdr:col>3</xdr:col>
      <xdr:colOff>223308</xdr:colOff>
      <xdr:row>0</xdr:row>
      <xdr:rowOff>1796305</xdr:rowOff>
    </xdr:to>
    <xdr:sp macro="[0]!GoToPreviousSheet" textlink="">
      <xdr:nvSpPr>
        <xdr:cNvPr id="8" name="Rectangle: Rounded Corners 7">
          <a:extLst>
            <a:ext uri="{FF2B5EF4-FFF2-40B4-BE49-F238E27FC236}">
              <a16:creationId xmlns:a16="http://schemas.microsoft.com/office/drawing/2014/main" id="{11708C2B-1266-4E5A-AAF4-ABCDB78D7F87}"/>
            </a:ext>
          </a:extLst>
        </xdr:cNvPr>
        <xdr:cNvSpPr/>
      </xdr:nvSpPr>
      <xdr:spPr>
        <a:xfrm>
          <a:off x="781050"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1D68FBD5-B932-4332-A350-30E4DDB60B05}"/>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695325</xdr:colOff>
      <xdr:row>0</xdr:row>
      <xdr:rowOff>1447800</xdr:rowOff>
    </xdr:from>
    <xdr:to>
      <xdr:col>4</xdr:col>
      <xdr:colOff>924984</xdr:colOff>
      <xdr:row>0</xdr:row>
      <xdr:rowOff>1794861</xdr:rowOff>
    </xdr:to>
    <xdr:sp macro="[0]!ShowColumnSelector" textlink="">
      <xdr:nvSpPr>
        <xdr:cNvPr id="3" name="Rectangle: Rounded Corners 2">
          <a:extLst>
            <a:ext uri="{FF2B5EF4-FFF2-40B4-BE49-F238E27FC236}">
              <a16:creationId xmlns:a16="http://schemas.microsoft.com/office/drawing/2014/main" id="{61570AC2-23AC-41D6-A7BE-A817B85EC521}"/>
            </a:ext>
          </a:extLst>
        </xdr:cNvPr>
        <xdr:cNvSpPr/>
      </xdr:nvSpPr>
      <xdr:spPr>
        <a:xfrm>
          <a:off x="1609725"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1B11F8B6-D8DC-4B9A-8B38-B1B7304C21E5}"/>
            </a:ext>
          </a:extLst>
        </xdr:cNvPr>
        <xdr:cNvSpPr/>
      </xdr:nvSpPr>
      <xdr:spPr>
        <a:xfrm>
          <a:off x="1185333"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5" name="Rectangle: Rounded Corners 4">
          <a:extLst>
            <a:ext uri="{FF2B5EF4-FFF2-40B4-BE49-F238E27FC236}">
              <a16:creationId xmlns:a16="http://schemas.microsoft.com/office/drawing/2014/main" id="{3B10738A-083A-49E3-938D-E9D21BABFB8E}"/>
            </a:ext>
          </a:extLst>
        </xdr:cNvPr>
        <xdr:cNvSpPr/>
      </xdr:nvSpPr>
      <xdr:spPr>
        <a:xfrm>
          <a:off x="771525"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06ED9B53-40D7-4336-AEAE-19CB74D8725C}"/>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695325</xdr:colOff>
      <xdr:row>0</xdr:row>
      <xdr:rowOff>1447800</xdr:rowOff>
    </xdr:from>
    <xdr:to>
      <xdr:col>4</xdr:col>
      <xdr:colOff>820209</xdr:colOff>
      <xdr:row>0</xdr:row>
      <xdr:rowOff>1794861</xdr:rowOff>
    </xdr:to>
    <xdr:sp macro="[0]!ShowColumnSelector" textlink="">
      <xdr:nvSpPr>
        <xdr:cNvPr id="3" name="Rectangle: Rounded Corners 2">
          <a:extLst>
            <a:ext uri="{FF2B5EF4-FFF2-40B4-BE49-F238E27FC236}">
              <a16:creationId xmlns:a16="http://schemas.microsoft.com/office/drawing/2014/main" id="{48034E00-8418-40E8-A7AD-E6348C2CAFAA}"/>
            </a:ext>
          </a:extLst>
        </xdr:cNvPr>
        <xdr:cNvSpPr/>
      </xdr:nvSpPr>
      <xdr:spPr>
        <a:xfrm>
          <a:off x="1609725"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21DE6B70-B6F4-4785-93FE-787002763335}"/>
            </a:ext>
          </a:extLst>
        </xdr:cNvPr>
        <xdr:cNvSpPr/>
      </xdr:nvSpPr>
      <xdr:spPr>
        <a:xfrm>
          <a:off x="1185333"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5" name="Rectangle: Rounded Corners 4">
          <a:extLst>
            <a:ext uri="{FF2B5EF4-FFF2-40B4-BE49-F238E27FC236}">
              <a16:creationId xmlns:a16="http://schemas.microsoft.com/office/drawing/2014/main" id="{7A1C3574-5B12-483B-AFE1-98FB31C78251}"/>
            </a:ext>
          </a:extLst>
        </xdr:cNvPr>
        <xdr:cNvSpPr/>
      </xdr:nvSpPr>
      <xdr:spPr>
        <a:xfrm>
          <a:off x="771525"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CFD47EE6-67B3-490D-8D38-01A3AE541A19}"/>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695325</xdr:colOff>
      <xdr:row>0</xdr:row>
      <xdr:rowOff>1447800</xdr:rowOff>
    </xdr:from>
    <xdr:to>
      <xdr:col>4</xdr:col>
      <xdr:colOff>915459</xdr:colOff>
      <xdr:row>0</xdr:row>
      <xdr:rowOff>1794861</xdr:rowOff>
    </xdr:to>
    <xdr:sp macro="[0]!ShowColumnSelector" textlink="">
      <xdr:nvSpPr>
        <xdr:cNvPr id="3" name="Rectangle: Rounded Corners 2">
          <a:extLst>
            <a:ext uri="{FF2B5EF4-FFF2-40B4-BE49-F238E27FC236}">
              <a16:creationId xmlns:a16="http://schemas.microsoft.com/office/drawing/2014/main" id="{7779DAA6-48AB-4016-8F9B-FEDA91011B7A}"/>
            </a:ext>
          </a:extLst>
        </xdr:cNvPr>
        <xdr:cNvSpPr/>
      </xdr:nvSpPr>
      <xdr:spPr>
        <a:xfrm>
          <a:off x="1609725"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78D27583-FAEF-49DA-9A32-2DF747957602}"/>
            </a:ext>
          </a:extLst>
        </xdr:cNvPr>
        <xdr:cNvSpPr/>
      </xdr:nvSpPr>
      <xdr:spPr>
        <a:xfrm>
          <a:off x="1185333"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5" name="Rectangle: Rounded Corners 4">
          <a:extLst>
            <a:ext uri="{FF2B5EF4-FFF2-40B4-BE49-F238E27FC236}">
              <a16:creationId xmlns:a16="http://schemas.microsoft.com/office/drawing/2014/main" id="{1DA0C76B-D401-45CB-8B39-ABA09D46FF9F}"/>
            </a:ext>
          </a:extLst>
        </xdr:cNvPr>
        <xdr:cNvSpPr/>
      </xdr:nvSpPr>
      <xdr:spPr>
        <a:xfrm>
          <a:off x="771525"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BFB71967-BF00-403B-8C77-B86A841DD244}"/>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695325</xdr:colOff>
      <xdr:row>0</xdr:row>
      <xdr:rowOff>1447800</xdr:rowOff>
    </xdr:from>
    <xdr:to>
      <xdr:col>4</xdr:col>
      <xdr:colOff>944034</xdr:colOff>
      <xdr:row>0</xdr:row>
      <xdr:rowOff>1794861</xdr:rowOff>
    </xdr:to>
    <xdr:sp macro="[0]!ShowColumnSelector" textlink="">
      <xdr:nvSpPr>
        <xdr:cNvPr id="3" name="Rectangle: Rounded Corners 2">
          <a:extLst>
            <a:ext uri="{FF2B5EF4-FFF2-40B4-BE49-F238E27FC236}">
              <a16:creationId xmlns:a16="http://schemas.microsoft.com/office/drawing/2014/main" id="{62E4A5F1-EE3F-461B-9048-AA2A7B890E00}"/>
            </a:ext>
          </a:extLst>
        </xdr:cNvPr>
        <xdr:cNvSpPr/>
      </xdr:nvSpPr>
      <xdr:spPr>
        <a:xfrm>
          <a:off x="1609725" y="1447800"/>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A1EADB3D-007A-43B5-9156-D7BF2EC9654E}"/>
            </a:ext>
          </a:extLst>
        </xdr:cNvPr>
        <xdr:cNvSpPr/>
      </xdr:nvSpPr>
      <xdr:spPr>
        <a:xfrm>
          <a:off x="1185333" y="1447800"/>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5" name="Rectangle: Rounded Corners 4">
          <a:extLst>
            <a:ext uri="{FF2B5EF4-FFF2-40B4-BE49-F238E27FC236}">
              <a16:creationId xmlns:a16="http://schemas.microsoft.com/office/drawing/2014/main" id="{AEF44FCA-D868-49C1-B994-52A2351A8F7E}"/>
            </a:ext>
          </a:extLst>
        </xdr:cNvPr>
        <xdr:cNvSpPr/>
      </xdr:nvSpPr>
      <xdr:spPr>
        <a:xfrm>
          <a:off x="771525" y="1447800"/>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4" name="Rectangle: Rounded Corners 3">
          <a:extLst>
            <a:ext uri="{FF2B5EF4-FFF2-40B4-BE49-F238E27FC236}">
              <a16:creationId xmlns:a16="http://schemas.microsoft.com/office/drawing/2014/main" id="{1FBD9178-D3F6-44F4-895C-9C5A5E018C9A}"/>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5" name="Rectangle: Rounded Corners 4">
          <a:extLst>
            <a:ext uri="{FF2B5EF4-FFF2-40B4-BE49-F238E27FC236}">
              <a16:creationId xmlns:a16="http://schemas.microsoft.com/office/drawing/2014/main" id="{3D1436C4-BC2F-4F90-B42E-251188AECD39}"/>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6" name="Rectangle: Rounded Corners 5">
          <a:extLst>
            <a:ext uri="{FF2B5EF4-FFF2-40B4-BE49-F238E27FC236}">
              <a16:creationId xmlns:a16="http://schemas.microsoft.com/office/drawing/2014/main" id="{E4584386-E248-4D7D-BF4A-8355726C4248}"/>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7" name="Rectangle: Rounded Corners 6">
          <a:extLst>
            <a:ext uri="{FF2B5EF4-FFF2-40B4-BE49-F238E27FC236}">
              <a16:creationId xmlns:a16="http://schemas.microsoft.com/office/drawing/2014/main" id="{B5EAAFD1-AC4E-4B1A-A4A3-DC56E7BADE3A}"/>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3CBFADBA-910D-45CD-A618-37EECA729CAA}"/>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E04139CB-5EFA-41C9-A137-264766A04DA4}"/>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9F8EC05D-CE63-4940-8FC3-499EE734A302}"/>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3EA2EE5C-E23D-487E-89AE-5EE16CE90B44}"/>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3FA042D1-E875-4658-AAED-BA242DBEBAC8}"/>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05E187AB-88B9-4F68-B3B1-1A496FCA3F85}"/>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D4E3EE49-86C1-4CFD-B9C7-88CBA237253A}"/>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3F511A34-1E1E-452D-9D0B-62EB451A9705}"/>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7A60E4C9-1036-4E87-842F-AE01CC4A38ED}"/>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D3831DEB-CDEC-41A7-A0E9-A4C382D40CD3}"/>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8B39BA6F-1B1C-4ADD-B722-6729C3098892}"/>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B7DE571B-1552-471E-99C4-A8A1478F9A01}"/>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17815D18-B93E-4882-B5E5-19D36A704985}"/>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E0FC691F-951A-424F-8DD2-5E614284EC7A}"/>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A9A9BD7D-73BA-40F8-B0B9-716E668A9E60}"/>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9F8505F4-CC7C-4398-AC5A-52AE2CAEDE0B}"/>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EAC5076E-66BA-4CB8-A616-BFCC80E1B7F4}"/>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54245922-4790-45DF-AE85-E9870A2F1F6F}"/>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E1155379-FDAE-4D17-AE42-4EB8A802A77A}"/>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47952382-0C23-470F-B3EF-0C8618D1D3E6}"/>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D7520D89-A77D-4720-B1F8-BCE35E986E89}"/>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9626FA06-B8EA-40E2-9741-9CE80901BCDD}"/>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772C427C-466A-4157-8B14-07C06A733A15}"/>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C79DF65E-AD1E-404F-8B4A-2AF2B03494F9}"/>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08B2EA40-9B2D-44A9-B716-BC78A485C904}"/>
            </a:ext>
          </a:extLst>
        </xdr:cNvPr>
        <xdr:cNvSpPr/>
      </xdr:nvSpPr>
      <xdr:spPr>
        <a:xfrm>
          <a:off x="95250"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E467403A-AB39-4CA6-B1CA-7155545EDA49}"/>
            </a:ext>
          </a:extLst>
        </xdr:cNvPr>
        <xdr:cNvSpPr/>
      </xdr:nvSpPr>
      <xdr:spPr>
        <a:xfrm>
          <a:off x="1600200" y="1438275"/>
          <a:ext cx="1172634" cy="347061"/>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F2D57252-B34D-4189-9BD7-19B03D9FE14C}"/>
            </a:ext>
          </a:extLst>
        </xdr:cNvPr>
        <xdr:cNvSpPr/>
      </xdr:nvSpPr>
      <xdr:spPr>
        <a:xfrm>
          <a:off x="1175808" y="14382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0590167D-A3A5-46BD-9F8A-0F6901A2E86F}"/>
            </a:ext>
          </a:extLst>
        </xdr:cNvPr>
        <xdr:cNvSpPr/>
      </xdr:nvSpPr>
      <xdr:spPr>
        <a:xfrm>
          <a:off x="762000" y="1438275"/>
          <a:ext cx="356658"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N7" totalsRowShown="0" headerRowDxfId="278" headerRowBorderDxfId="277">
  <autoFilter ref="A4:N7" xr:uid="{7E3196FD-41CA-4617-B4E6-1663860AE448}"/>
  <tableColumns count="14">
    <tableColumn id="1" xr3:uid="{7AC6F4F0-0B21-48D3-9F25-3D1070C3034B}" name="experiment_ID"/>
    <tableColumn id="21" xr3:uid="{9D4DA41D-CE58-451A-BD31-50D7CBF1EE62}" name="name_of_experiment"/>
    <tableColumn id="22" xr3:uid="{0C321953-54D6-45AC-A207-3D46F9759CC7}" name="exp_code_local"/>
    <tableColumn id="23" xr3:uid="{45987F0B-9242-400A-8F9A-4053C3C08B32}" name="experiment_name_local"/>
    <tableColumn id="24" xr3:uid="{3BFAEB9F-FC18-4EFE-8423-A029B1EF9B2F}" name="experiment_type"/>
    <tableColumn id="25" xr3:uid="{203815DC-ECF8-45D5-9FB4-2F7C9BDFCEB2}" name="management_type"/>
    <tableColumn id="26" xr3:uid="{6C69A743-44C0-4C87-A384-14977A5990EF}" name="number_of_replicates"/>
    <tableColumn id="27" xr3:uid="{7DE35B79-41B9-401A-BFDB-0FE51EBE1CC3}" name="number_of_treatments"/>
    <tableColumn id="28" xr3:uid="{031AA929-EC35-4D49-8AE4-D8B70A35E2ED}" name="experimental_design"/>
    <tableColumn id="29" xr3:uid="{154F22E4-CC3D-403D-92A7-83E196BAAB1C}" name="main_experiment_factor"/>
    <tableColumn id="30" xr3:uid="{6E5024E5-CF17-41A0-A45D-E99988F2B346}" name="site_type"/>
    <tableColumn id="31" xr3:uid="{5FFFF8B5-542A-48F1-8F3C-2DE43E022A0D}" name="experiment_duration"/>
    <tableColumn id="32" xr3:uid="{35181B7D-115F-4E31-82C3-CD07AEEA0295}" name="revision_date_first"/>
    <tableColumn id="33" xr3:uid="{B55C0D35-CB26-42A3-8BFD-740518AF089F}" name="revision_date_latest"/>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L22" totalsRowShown="0" headerRowDxfId="276">
  <autoFilter ref="A4:L22" xr:uid="{F704A919-35EF-4F9B-B28A-E5C52918070E}"/>
  <tableColumns count="12">
    <tableColumn id="1" xr3:uid="{10241A42-1437-4B05-B9F8-389A5701D989}" name="experiment_ID"/>
    <tableColumn id="19" xr3:uid="{217A62DD-5A07-45DD-A751-8AAAA8F4CE25}" name="plot_ID"/>
    <tableColumn id="2" xr3:uid="{7FB208B7-C0D6-43DB-8D08-A2BEEB39E50C}" name="plot_length"/>
    <tableColumn id="3" xr3:uid="{F1A4547F-1CC5-4358-A67C-70BE8EDF07CA}" name="plot_width"/>
    <tableColumn id="4" xr3:uid="{8ED72938-1EEE-46CA-AC94-12EFB87A7E3B}" name="plot_area"/>
    <tableColumn id="5" xr3:uid="{1594A504-316F-4A3B-8009-6E6ED2C39F01}" name="plot_separation"/>
    <tableColumn id="6" xr3:uid="{8DBD8976-5B2C-4928-8472-8E9725113563}" name="plot_orientation"/>
    <tableColumn id="7" xr3:uid="{D9AEAAA9-430D-4DAA-89B8-4581C7FD545F}" name="plot_harvest_length"/>
    <tableColumn id="8" xr3:uid="{CAD22EE6-C5C6-49D4-9F31-C21C2324743F}" name="plot_harvest_width"/>
    <tableColumn id="9" xr3:uid="{158A0F1C-364B-4012-83B4-CF3D2DB25E71}" name="plot_harvest_area"/>
    <tableColumn id="10" xr3:uid="{673E07B4-20EC-42EA-8397-9E0EDB1957A8}" name="harvest_method_plot"/>
    <tableColumn id="11" xr3:uid="{3BBE1C10-3632-4EE8-9EA3-28072069E906}" name="plot_layout"/>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F9" totalsRowShown="0">
  <autoFilter ref="A4:F9" xr:uid="{D592DB2B-CA70-4984-AAAB-B6DFEDBCC2E1}"/>
  <tableColumns count="6">
    <tableColumn id="1" xr3:uid="{3DC05D3B-A820-4651-B22B-0544975E5828}" name="experiment_ID"/>
    <tableColumn id="2" xr3:uid="{ABCA1176-7E3E-4E8D-9E72-E06D6DAD50AA}" name="people_level" dataDxfId="275">
      <calculatedColumnFormula array="1">IF(ROW() &lt; ROW(INDEX(persons[experiment_ID],ROWS(persons[experiment_ID]))), COUNTIF(INDEX(persons[experiment_ID],1):persons[[#This Row],[experiment_ID]],persons[[#This Row],[experiment_ID]]), "")</calculatedColumnFormula>
    </tableColumn>
    <tableColumn id="3" xr3:uid="{2EC10443-A167-4509-B9F6-A1EC90316193}" name="researcher_first_name" dataDxfId="274"/>
    <tableColumn id="4" xr3:uid="{EBDC6D18-4868-46CA-B425-94B6ADEFE928}" name="researcher_last_name" dataDxfId="273"/>
    <tableColumn id="5" xr3:uid="{78A162CC-D9F2-4330-A694-12E2569F5019}" name="researcher_name_mi" dataDxfId="272"/>
    <tableColumn id="6" xr3:uid="{7FAE614C-29AE-4C71-A24A-86D4D1331576}" name="researcher_role" dataDxfId="271"/>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F8" totalsRowShown="0" headerRowDxfId="270">
  <autoFilter ref="A4:F8" xr:uid="{CDF130C1-D396-4A8C-ADF6-BCE95083E13D}"/>
  <tableColumns count="6">
    <tableColumn id="1" xr3:uid="{5BFEF52C-8537-4E4E-95E5-857BB138AC40}" name="experiment_ID"/>
    <tableColumn id="2" xr3:uid="{6A04E1E9-D55C-41AA-96EE-09A3A36AEC6E}" name="institute_ID">
      <calculatedColumnFormula array="1">IF(ROW() &lt; ROW(INDEX(institutions[experiment_ID],ROWS(institutions[experiment_ID]))), COUNTIF(INDEX(institutions[experiment_ID],1):institutions[[#This Row],[experiment_ID]],institutions[[#This Row],[experiment_ID]]), "")</calculatedColumnFormula>
    </tableColumn>
    <tableColumn id="3" xr3:uid="{4EF232D9-800C-4BA5-8FF8-A12918613A8E}" name="institute_name"/>
    <tableColumn id="4" xr3:uid="{27D73B94-F1F8-4E34-925D-4CA08157ED0B}" name="institute_role"/>
    <tableColumn id="5" xr3:uid="{4652B04E-9CAD-4A2D-87C2-AD1303E585F9}" name="institute_type"/>
    <tableColumn id="6" xr3:uid="{E209BA7A-D13C-48EF-9853-AD815BE52086}" name="institute_notes"/>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G6" totalsRowShown="0" headerRowDxfId="269">
  <autoFilter ref="A4:G6" xr:uid="{293FAAE0-B5F9-4163-9FD9-D8C533FDC441}"/>
  <tableColumns count="7">
    <tableColumn id="1" xr3:uid="{646F635F-9D9B-451D-995D-9025E21415EE}" name="experiment_ID"/>
    <tableColumn id="2" xr3:uid="{064E0BC7-E121-4C10-81EC-2AA5D50BCD43}" name="document_ID">
      <calculatedColumnFormula array="1">IF(ROW() &lt; ROW(INDEX(documents[experiment_ID],ROWS(documents[experiment_ID]))), COUNTIF(INDEX(documents[experiment_ID],1):documents[[#This Row],[experiment_ID]],documents[[#This Row],[experiment_ID]]), "")</calculatedColumnFormula>
    </tableColumn>
    <tableColumn id="8" xr3:uid="{8141EDCB-2A56-4968-81DD-AF9F394F4CC3}" name="document_date"/>
    <tableColumn id="9" xr3:uid="{D97108A7-E263-4138-881F-77E5EA87355D}" name="digital_object_identifier"/>
    <tableColumn id="10" xr3:uid="{81E80CC1-6AA0-40A9-9815-43B3A3489219}" name="document_link"/>
    <tableColumn id="11" xr3:uid="{60601409-1FAD-4AC7-922B-9FCAB142469A}" name="document_name"/>
    <tableColumn id="12" xr3:uid="{A90F2AAB-F02E-43D5-A0C3-5DB13D8110CD}" name="document_type"/>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H8" totalsRowShown="0" tableBorderDxfId="268">
  <autoFilter ref="A4:H8" xr:uid="{B5DB3634-6071-440A-ACB7-120C56A8AEB3}"/>
  <tableColumns count="8">
    <tableColumn id="1" xr3:uid="{00BBA329-0850-4C23-A571-D06B2D410C0B}" name="experiment_ID"/>
    <tableColumn id="2" xr3:uid="{D506A502-AD0E-4576-BA4A-9E3749F78E94}" name="cultivar_level">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tableColumn id="15" xr3:uid="{9A59B5B7-7B68-4F38-96E2-7D080D8BF671}" name="cultivar_name"/>
    <tableColumn id="19" xr3:uid="{7BCD97B1-6DBE-4764-B922-1F2DCDA74217}" name="crop_ident_ICASA"/>
    <tableColumn id="20" xr3:uid="{5F71D44B-6FE2-4D8E-B0CE-4A9E1946A116}" name="cultivar_release_year"/>
    <tableColumn id="21" xr3:uid="{091F769A-EE47-4241-A7E3-5C1DC0008CA2}" name="cultivar_notes"/>
    <tableColumn id="22" xr3:uid="{21E50950-A4DA-46D5-A9E8-6CC1305CE410}" name="crop_intended_use"/>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N7" totalsRowShown="0" headerRowDxfId="267">
  <autoFilter ref="A4:N7" xr:uid="{3C9D2DB6-8981-41D9-B44E-7995A694A6EF}"/>
  <tableColumns count="14">
    <tableColumn id="1" xr3:uid="{71757B2C-B63F-4B79-ACCB-0ADC28FF9B17}" name="experiment_ID"/>
    <tableColumn id="2" xr3:uid="{53BE7058-238E-4EBF-949E-4C3E4806DE51}" name="field_level">
      <calculatedColumnFormula array="1">IF(ROW() &lt; ROW(INDEX(fields[experiment_ID],ROWS(fields[experiment_ID]))), COUNTIF(INDEX(fields[experiment_ID],1):fields[[#This Row],[experiment_ID]],fields[[#This Row],[experiment_ID]]), "")</calculatedColumnFormula>
    </tableColumn>
    <tableColumn id="3" xr3:uid="{65150283-65C3-4775-8944-138E447DFDA5}" name="weather_sta_identifier"/>
    <tableColumn id="12" xr3:uid="{509462E9-1D92-4E4C-BD9B-1FB3533D8F7B}" name="soil_identifier"/>
    <tableColumn id="13" xr3:uid="{663AE94E-684F-419B-998A-C702A847659B}" name="field_name"/>
    <tableColumn id="15" xr3:uid="{ABFE498D-3BCC-4AEF-9A36-C7F613194098}" name="field_id"/>
    <tableColumn id="4" xr3:uid="{2276AD56-A9FB-451E-ACF7-C14D3BB55541}" name="field_country"/>
    <tableColumn id="5" xr3:uid="{F76A86DC-1792-458E-BA24-F39B198170B8}" name="field_sub_country"/>
    <tableColumn id="6" xr3:uid="{F1C90C07-84CE-4772-82F0-2004777BA3D2}" name="field_sub_sub_country"/>
    <tableColumn id="7" xr3:uid="{C88744DC-0440-4F34-BF11-4D2D1572B15B}" name="field_latitude"/>
    <tableColumn id="8" xr3:uid="{7CFCE0D2-E2C0-46D4-BA8E-59590DB62B93}" name="field_longitude"/>
    <tableColumn id="9" xr3:uid="{AF655BF0-6B7A-4D3C-90C6-1F6E1CC0F23C}" name="field_elevation"/>
    <tableColumn id="10" xr3:uid="{2DD9FF6D-7463-4D86-884E-7D0B2628BC03}" name="field_soil_texture"/>
    <tableColumn id="11" xr3:uid="{7DA97F13-F8D9-4ACB-970E-5D708AB8EF5E}" name="field_notes"/>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F7" totalsRowShown="0" headerRowDxfId="266">
  <autoFilter ref="A4:F7" xr:uid="{77F7C1D0-1B00-4CF4-88BC-0DEC85F953DC}"/>
  <tableColumns count="6">
    <tableColumn id="1" xr3:uid="{064C0C80-9966-4FE5-A358-3B63D88AFD11}" name="experiment_ID"/>
    <tableColumn id="2" xr3:uid="{123A7DAC-8FE9-4397-9658-262487332BF5}" name="tillage_level" dataDxfId="265">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264"/>
    <tableColumn id="7" xr3:uid="{0B5E9125-18E4-4E3E-A3EF-881F0DBD535A}" name="tillage_practice" dataDxfId="263"/>
    <tableColumn id="8" xr3:uid="{17128E21-52FE-45DB-9580-F437CD0DCDA4}" name="tillage_treatment_notes" dataDxfId="262"/>
    <tableColumn id="9" xr3:uid="{0D4D5D0F-B1CB-4327-ABD5-50F15CD4D062}" name="tillage_event_tot" dataDxfId="261"/>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F7" totalsRowShown="0" headerRowDxfId="260">
  <autoFilter ref="A4:F7" xr:uid="{A3AAB4EA-51D5-47B5-B4D5-27DD724AC1A8}"/>
  <tableColumns count="6">
    <tableColumn id="1" xr3:uid="{BE6134E0-871E-4354-93DF-B7E89DEE2CAA}" name="experiment_ID"/>
    <tableColumn id="3" xr3:uid="{83DC67DB-647C-4BB5-A921-6C5C560E47AE}" name="tillage_level"/>
    <tableColumn id="4" xr3:uid="{4F516FC8-6F60-4C2B-B76A-6924F1007CAB}" name="tillage_operation_name"/>
    <tableColumn id="7" xr3:uid="{3928CA98-0312-43FB-ADE1-32BB25EBED88}" name="tillage_date" dataDxfId="259"/>
    <tableColumn id="8" xr3:uid="{345978E8-7B1B-4AA2-A869-FD46316EC7C9}" name="tillage_implement"/>
    <tableColumn id="9" xr3:uid="{68205519-7C8B-4DCD-9BD5-BD4F1041DA5E}" name="tillage_operations_depth"/>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I6" totalsRowShown="0" headerRowDxfId="258">
  <autoFilter ref="A4:I6" xr:uid="{FE56ED03-3827-4D4B-95D4-C9B25130FFC2}"/>
  <tableColumns count="9">
    <tableColumn id="2" xr3:uid="{E4B89C5A-BCD1-40C8-A0C5-73AFF52367AC}" name="experiment_ID"/>
    <tableColumn id="3" xr3:uid="{2D4DE1A2-C9D5-4709-A96E-1F5BCF57028B}" name="initial_conditions_level">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tableColumn id="4" xr3:uid="{9259E97D-815E-46E2-A6A6-9506195A9609}" name="residue_nature_prev_crop"/>
    <tableColumn id="5" xr3:uid="{9D195458-51A5-41E1-BEEC-9F897A620974}" name="residue_incorporated"/>
    <tableColumn id="6" xr3:uid="{9D39AEA1-5F0C-4819-B80C-163258319B0A}" name="residue_incorpor_depth"/>
    <tableColumn id="7" xr3:uid="{A33BBD7C-2442-4EE0-9D23-699A079A513D}" name="residue_above_ground_wt"/>
    <tableColumn id="8" xr3:uid="{10D9E02F-C4A1-4813-B13F-75D586D0EE42}" name="residue_moisture_init"/>
    <tableColumn id="9" xr3:uid="{1CF4BE7A-4F6D-498E-8804-E0B27889F27C}" name="residue_N_conc"/>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5" totalsRowShown="0" headerRowDxfId="257">
  <autoFilter ref="A4:I5"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L14" totalsRowShown="0" headerRowDxfId="256">
  <autoFilter ref="A4:L14" xr:uid="{DBCC93B0-4D79-472C-B995-C493E7EC6DC1}"/>
  <tableColumns count="12">
    <tableColumn id="1" xr3:uid="{4FCE37D5-7DAD-4580-885E-2A24AFCAFB23}" name="experiment_ID"/>
    <tableColumn id="3" xr3:uid="{22DEE118-9F6A-48CB-871A-84D7BFF31B8B}" name="planting_level">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255"/>
    <tableColumn id="28" xr3:uid="{999D169E-1EBA-4C31-BDEE-38C7D334CC7D}" name="planting_date" dataDxfId="254"/>
    <tableColumn id="29" xr3:uid="{F8697C7E-5C68-4D3F-9F99-56AA239618FE}" name="plant_pop_at_planting" dataDxfId="253"/>
    <tableColumn id="30" xr3:uid="{C21DA1A1-6B9B-4126-AB49-F9C289146363}" name="planting_material" dataDxfId="252"/>
    <tableColumn id="31" xr3:uid="{93B796FB-A950-4835-BAD7-B99108EBCF60}" name="planting_distribution" dataDxfId="251"/>
    <tableColumn id="32" xr3:uid="{852D630D-16D3-409E-9EA4-5EB47C041BFA}" name="planting_depth" dataDxfId="250"/>
    <tableColumn id="33" xr3:uid="{CC1B8D6E-15BC-4133-9CC9-27EC36479076}" name="planting_material_weight" dataDxfId="249"/>
    <tableColumn id="34" xr3:uid="{EA5935E4-D663-4ED2-9086-7F8CC96E47C0}" name="germination" dataDxfId="248"/>
    <tableColumn id="35" xr3:uid="{3A1EBD13-440C-4713-BDDA-620D23D50CC9}" name="planting_notes" dataDxfId="247"/>
    <tableColumn id="36" xr3:uid="{EDCEBA9C-4C01-47FF-B243-ACE96A3D1B64}" name="planting_method" dataDxfId="246"/>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D7" totalsRowShown="0" headerRowDxfId="245">
  <autoFilter ref="A4:D7" xr:uid="{77F7C1D0-1B00-4CF4-88BC-0DEC85F953DC}"/>
  <tableColumns count="4">
    <tableColumn id="1" xr3:uid="{A156CDB4-CA1C-46B2-9A28-F2884AC5D92D}" name="experiment_ID"/>
    <tableColumn id="2" xr3:uid="{ACD08E62-9057-49A7-9EA3-EE0BA19976E3}" name="irrigation_level" dataDxfId="244">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243"/>
    <tableColumn id="6" xr3:uid="{22FD20B3-53D9-43B5-A650-6EFE4BBB9AEE}" name="irrig_applied" dataDxfId="242"/>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5" totalsRowShown="0" headerRowDxfId="241">
  <autoFilter ref="A4:F5" xr:uid="{A3AAB4EA-51D5-47B5-B4D5-27DD724AC1A8}"/>
  <tableColumns count="6">
    <tableColumn id="1" xr3:uid="{C45E9A7C-2CC6-4576-81A1-EE90CF2C42FA}" name="experiment_ID"/>
    <tableColumn id="3" xr3:uid="{A9243036-F39E-4AF0-B13D-DD0803C7FA54}" name="irrigation_level"/>
    <tableColumn id="17" xr3:uid="{FA25899C-5D99-4977-927E-9CAA9CF77D25}" name="irrigation_operation_name" dataDxfId="240"/>
    <tableColumn id="2" xr3:uid="{3E4B3DA5-9F7B-4B6E-A91A-6C3928BCAFA8}" name="irrigation_date"/>
    <tableColumn id="4" xr3:uid="{6B2B59A8-279C-438A-8F42-4FDD583B2666}" name="irrigation_operation" dataDxfId="62"/>
    <tableColumn id="5" xr3:uid="{DEAECE4B-5F6B-4C05-9A26-338D1D652A11}" name="irrig_amount_depth" dataDxfId="61"/>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F11EF586-5650-42AF-9BF0-8F440058C1C3}" name="organicMaterials" displayName="organicMaterials" ref="A4:E5" totalsRowShown="0" headerRowDxfId="239">
  <autoFilter ref="A4:E5" xr:uid="{DB9EB374-C541-4A85-ADC8-845A320AB264}"/>
  <tableColumns count="5">
    <tableColumn id="1" xr3:uid="{3C8A7392-1E2A-4CB4-9059-423DFAB2DA86}" name="experiment_ID"/>
    <tableColumn id="2" xr3:uid="{87B49053-5569-460B-8AB0-52847CE716A3}" name="org_materials_applic_lev">
      <calculatedColumnFormula array="1">IF(ROW() &lt; ROW(INDEX(organicMaterials[experiment_ID],ROWS(organicMaterials[experiment_ID]))), COUNTIF(INDEX(organicMaterials[experiment_ID],1):organicMaterials[[#This Row],[experiment_ID]],organicMaterials[[#This Row],[experiment_ID]]), "")</calculatedColumnFormula>
    </tableColumn>
    <tableColumn id="3" xr3:uid="{BD09CCD6-4362-435A-A0AB-BD97AB79F370}" name="org_material_applic_name"/>
    <tableColumn id="4" xr3:uid="{23348A99-D1DD-498E-B30C-7AAF1770BF29}" name="org_material_applic_tot"/>
    <tableColumn id="5" xr3:uid="{54CE34B4-ED41-4B54-9C9C-A8CCB9ADCF93}" name="org_material_note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H5" totalsRowShown="0" headerRowDxfId="238">
  <autoFilter ref="A4:H5" xr:uid="{7C3F1750-AC69-4213-B59A-E077F022E7D0}"/>
  <tableColumns count="8">
    <tableColumn id="1" xr3:uid="{1B26D61E-FE2D-4AC4-A912-D367EB1E1265}" name="experiment_ID"/>
    <tableColumn id="3" xr3:uid="{735E5EED-69EC-45F6-A5E3-D217D11FC4AE}" name="org_materials_applic_lev"/>
    <tableColumn id="2" xr3:uid="{067DB045-F705-42C5-B755-9601CC596A0A}" name="organic_material_applic_date"/>
    <tableColumn id="4" xr3:uid="{A0F7DB09-120B-441F-AEFB-04A3931BD661}" name="organic_material" dataDxfId="60"/>
    <tableColumn id="18" xr3:uid="{AC813932-95D7-475A-BE4E-BE0D16898D9E}" name="org_material_applic_amnt" dataDxfId="59"/>
    <tableColumn id="19" xr3:uid="{6EC63FC2-D46B-4BAF-A0DA-7A5394A0F8CC}" name="org_material_applic_fresh_wt" dataDxfId="58"/>
    <tableColumn id="20" xr3:uid="{6CDD9BDC-B6CE-4BE4-8E65-06AAF2C8F721}" name="org_material_cover" dataDxfId="57"/>
    <tableColumn id="21" xr3:uid="{46FC51FF-9E5D-4BBE-9147-FBA19E1A86B1}" name="organic_material_N_conc" dataDxfId="56"/>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Q8" totalsRowShown="0" headerRowDxfId="237">
  <autoFilter ref="A4:Q8" xr:uid="{DB9EB374-C541-4A85-ADC8-845A320AB264}"/>
  <tableColumns count="17">
    <tableColumn id="1" xr3:uid="{79B5E9CA-7C90-4CFF-B479-128C58B71009}" name="experiment_ID"/>
    <tableColumn id="2" xr3:uid="{E5917133-2C12-452F-942D-E4260F14FC8F}" name="fertilizer_level">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tableColumn id="3" xr3:uid="{4849280E-6464-44DA-A745-B5BAC6FF6559}" name="fert_applied"/>
    <tableColumn id="4" xr3:uid="{C4B7560B-56F2-4333-9583-24D9DB57137E}" name="fert_#_tot"/>
    <tableColumn id="5" xr3:uid="{AED1EB50-299C-48F8-A961-521C6C722AD7}" name="fertilizer_season"/>
    <tableColumn id="6" xr3:uid="{1EFEA7F2-7528-4FDD-B8F3-61793CCD0C65}" name="nitrogen_applics_season"/>
    <tableColumn id="7" xr3:uid="{876B1CF4-9B56-411D-A5FF-62C836C1C4EC}" name="nitrogen_season"/>
    <tableColumn id="8" xr3:uid="{524D81E6-C11B-4631-B5BA-2CC34189B437}" name="phosphorus_season"/>
    <tableColumn id="9" xr3:uid="{594B7ECA-8B12-4D80-8AEB-721D687C738E}" name="potassium_season"/>
    <tableColumn id="10" xr3:uid="{E722B7EA-D764-4421-A341-ECB2CC8F42F6}" name="boron_season"/>
    <tableColumn id="11" xr3:uid="{0532564C-5AF3-40F6-BAC2-5DE32EC0DAA7}" name="calcium_season"/>
    <tableColumn id="12" xr3:uid="{54942251-CAEB-474B-B90F-7A1B8E598DBA}" name="iron_season"/>
    <tableColumn id="13" xr3:uid="{7D1069F9-DE56-4920-9FC8-242C9C20211D}" name="magnesium_season"/>
    <tableColumn id="14" xr3:uid="{22493F86-201B-4CF3-9B4A-E09FA7A8E596}" name="manganese_season"/>
    <tableColumn id="15" xr3:uid="{8AE7CD46-18B0-4E99-8A1D-F86630776B41}" name="sulfur_season"/>
    <tableColumn id="16" xr3:uid="{4AE2F337-FC94-437C-ACD1-EA0B17AF61D0}" name="zinc_season"/>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U12" totalsRowShown="0" headerRowDxfId="236">
  <autoFilter ref="A4:U12" xr:uid="{7C3F1750-AC69-4213-B59A-E077F022E7D0}"/>
  <tableColumns count="21">
    <tableColumn id="1" xr3:uid="{86BB556E-921D-459C-95EB-7E01C208482F}" name="experiment_ID"/>
    <tableColumn id="3" xr3:uid="{206AB09C-68CA-4358-98A9-735CEACC74EA}" name="fertilizer_level"/>
    <tableColumn id="28" xr3:uid="{AD29869F-1EFC-4B76-A913-C4192F975B24}" name="fertiliz_app_name"/>
    <tableColumn id="29" xr3:uid="{13C30E9D-D629-4447-B465-23BAF14ADA10}" name="fertilization_date" dataDxfId="235"/>
    <tableColumn id="30" xr3:uid="{A709DAC8-57BE-4DC1-AFDD-C9A35CE94D2E}" name="fertilizer_material"/>
    <tableColumn id="31" xr3:uid="{92A4398B-E281-48AF-8282-1181B058ED7A}" name="fertilizer_applic_method"/>
    <tableColumn id="32" xr3:uid="{94BBBA5A-DF59-45F4-BFBB-A0BA6FE2268E}" name="application_depth_fert"/>
    <tableColumn id="33" xr3:uid="{BCED6F27-DAE7-4EC5-9872-8862E9462381}" name="fertilizer_total_amount"/>
    <tableColumn id="34" xr3:uid="{114F6E6A-5050-462D-8166-BD138F9F9653}" name="N_in_applied_fertilizer"/>
    <tableColumn id="35" xr3:uid="{1CC15F09-7DD6-4EE5-99EA-065B4DCE45CC}" name="NO3_applied_fertilizer"/>
    <tableColumn id="36" xr3:uid="{204AE436-750C-44E7-871C-D3F3AAB01B23}" name="NH4_applied_fertilizer"/>
    <tableColumn id="37" xr3:uid="{F628C0D7-E91C-47F5-B8F2-ED2C86832711}" name="Urea_applied_fertilizer"/>
    <tableColumn id="38" xr3:uid="{F155F9AB-013A-4D6F-B8A2-9D317C5F0BC9}" name="phosphorus_applied_fert"/>
    <tableColumn id="39" xr3:uid="{A00DD634-3309-49CF-B590-8632957F980D}" name="fertilizer_K_applied"/>
    <tableColumn id="40" xr3:uid="{074C0D25-C0C6-4010-8772-475123F63D81}" name="B_in_applied_fertilizer"/>
    <tableColumn id="41" xr3:uid="{48D6EF16-3473-4DBE-BE03-23F730D215C8}" name="Ca_in_applied_fertilizer"/>
    <tableColumn id="42" xr3:uid="{44E13A7D-FE24-42B7-91A9-FB5798EC2324}" name="Fe_in_applied_fertilizer"/>
    <tableColumn id="43" xr3:uid="{292C46D3-AC1C-4F18-951B-A076D6F88868}" name="Mg_in_applied_fertilizer"/>
    <tableColumn id="44" xr3:uid="{90CE11FB-1254-4DFD-93CA-8759263A6132}" name="Mn_in_applied_fertilizer"/>
    <tableColumn id="45" xr3:uid="{27972042-D338-4A32-ABA1-1563C01C04E3}" name="S_in_applied_fertilizer"/>
    <tableColumn id="46" xr3:uid="{61529952-8942-4A28-9AEA-A7460A674A65}" name="Zn_in_applied_fertilizer"/>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8" totalsRowShown="0" headerRowDxfId="234">
  <autoFilter ref="A4:D8" xr:uid="{77F7C1D0-1B00-4CF4-88BC-0DEC85F953DC}"/>
  <tableColumns count="4">
    <tableColumn id="1" xr3:uid="{481EB051-4328-42CD-9B7E-1B5D371B11E8}" name="experiment_ID"/>
    <tableColumn id="2" xr3:uid="{C5E0F8D4-0AC1-43CD-9963-49F39C522011}" name="chemical_applic_level" dataDxfId="233">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232"/>
    <tableColumn id="5" xr3:uid="{624A44F9-1748-4F9C-B889-3E56A5138C2F}" name="chemical_applic_notes" dataDxfId="231"/>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H18" totalsRowShown="0" headerRowDxfId="230">
  <autoFilter ref="A4:H18" xr:uid="{A3AAB4EA-51D5-47B5-B4D5-27DD724AC1A8}"/>
  <tableColumns count="8">
    <tableColumn id="1" xr3:uid="{4571FE7C-A5B1-42E7-A10D-B8C517E57329}" name="experiment_ID"/>
    <tableColumn id="3" xr3:uid="{BEABF4E5-DBFA-48F5-BB68-85D07F2CA2AB}" name="chemical_applic_level"/>
    <tableColumn id="2" xr3:uid="{50DA79F1-F284-4570-9FB1-C3BC391D78BE}" name="chemical_applic_date"/>
    <tableColumn id="4" xr3:uid="{5CFE0345-2E1B-41A7-9384-B348F48D63F3}" name="chemical_applic_material"/>
    <tableColumn id="5" xr3:uid="{4A03CCAF-34AC-4740-8344-9B8584CC7F6D}" name="chemical_applic_method"/>
    <tableColumn id="6" xr3:uid="{E5D72246-F297-488F-9B94-9EF9A39CC77D}" name="application_depth_chem"/>
    <tableColumn id="7" xr3:uid="{3ED757DE-4575-44F6-8EA6-97DE985EEC1A}" name="chemical_applic_amount"/>
    <tableColumn id="8" xr3:uid="{3D3C85E9-39EB-4B77-B9A5-96E179FD890F}" name="chemical_applic_target"/>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7" totalsRowShown="0" headerRowDxfId="229">
  <autoFilter ref="A4:D7"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G7" totalsRowShown="0" headerRowDxfId="228">
  <autoFilter ref="A4:G7" xr:uid="{F334BE32-25D5-43AD-A28D-6595D81A11E8}"/>
  <tableColumns count="7">
    <tableColumn id="1" xr3:uid="{229B1FAB-E450-4755-81F8-05415EA5CEDA}" name="experiment_ID"/>
    <tableColumn id="3" xr3:uid="{7BB2A383-5548-45FF-AD53-869BFDA02149}" name="harvest_operations_level"/>
    <tableColumn id="18" xr3:uid="{D2B8CE1F-F1E5-41FA-B06C-5289CBDACD1E}" name="harvest_operations_date"/>
    <tableColumn id="19" xr3:uid="{9FAA33D6-3575-47E0-922E-9FF89281E09B}" name="harvest_crop"/>
    <tableColumn id="20" xr3:uid="{6DB3DD3A-82FE-4613-8C62-05FC810C64C2}" name="harvest_operat_component"/>
    <tableColumn id="21" xr3:uid="{A15B1384-30E2-4551-86F9-A2AB53A46E12}" name="harvest_method"/>
    <tableColumn id="22" xr3:uid="{76F8D823-C6D9-47F9-B3F8-8B252B21DBD4}" name="harvest_amount"/>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16" totalsRowShown="0" headerRowDxfId="227" dataDxfId="226">
  <autoFilter ref="A4:Q16" xr:uid="{418326F8-391B-45E0-97BB-D948CCE1E8D3}"/>
  <tableColumns count="17">
    <tableColumn id="1" xr3:uid="{E3E3835B-ED22-4E2F-B31F-E7780ABB0DD6}" name="experiment_ID" dataDxfId="225"/>
    <tableColumn id="2" xr3:uid="{DDC4028D-51F9-4B05-A591-AC7BCE40287E}" name="treatment_number" dataDxfId="224">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223"/>
    <tableColumn id="4" xr3:uid="{723AF5B3-C8B4-48EE-A56A-56495723F770}" name="genotype_level_number" dataDxfId="222"/>
    <tableColumn id="5" xr3:uid="{B7E65C1A-5FED-45C6-A1B4-66394B6B10BC}" name="field_level" dataDxfId="221"/>
    <tableColumn id="6" xr3:uid="{0288AF23-3B4F-46D7-96E5-F2836716E890}" name="soil_analysis_level" dataDxfId="220"/>
    <tableColumn id="7" xr3:uid="{A99E7C02-2ECD-4115-9A68-7A5F32B4933B}" name="initial_conditions_level" dataDxfId="219"/>
    <tableColumn id="8" xr3:uid="{A6356408-09C3-4F4F-8609-DA47BF128A5D}" name="planting_level" dataDxfId="218"/>
    <tableColumn id="9" xr3:uid="{2E44F29B-0789-488A-ADD7-E812928A8FF7}" name="irrigation_level" dataDxfId="217"/>
    <tableColumn id="10" xr3:uid="{9377009E-FE92-4471-9F35-B769CDEA0EAE}" name="fertilizer_level" dataDxfId="216"/>
    <tableColumn id="11" xr3:uid="{1E208BA1-C1F0-4711-B7A8-FA4F39726875}" name="org_materials_applic_lev" dataDxfId="215"/>
    <tableColumn id="12" xr3:uid="{5F3C3085-2F26-411A-8530-A0FA0F9C5194}" name="chemical_applic_level" dataDxfId="214"/>
    <tableColumn id="13" xr3:uid="{24D68267-41D3-4A56-B9DC-B15ADCED41A5}" name="tillage_level" dataDxfId="213"/>
    <tableColumn id="14" xr3:uid="{8F54013B-D171-4C0F-97DC-A5D64DFD69B2}" name="environmental_modif_lev" dataDxfId="212"/>
    <tableColumn id="15" xr3:uid="{609E5842-0963-47EC-A6A4-2747D5256F59}" name="harvest_operations_level" dataDxfId="211"/>
    <tableColumn id="16" xr3:uid="{E740A0BB-530D-4FF2-B895-8DB8AF948E78}" name="mulch_level" dataDxfId="210"/>
    <tableColumn id="17" xr3:uid="{650FA923-C999-4B90-BB36-A39625D4CB3F}" name="simulation_control_level" dataDxfId="209"/>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K5" totalsRowShown="0" headerRowDxfId="208">
  <autoFilter ref="A4:K5" xr:uid="{4764CA42-BDDC-497C-B82B-528A3783901F}"/>
  <tableColumns count="11">
    <tableColumn id="1" xr3:uid="{7B93E340-CBA9-40CE-A1EF-B67FCE2190CA}" name="soil_profile_ID"/>
    <tableColumn id="2" xr3:uid="{91103EA9-886D-46E4-98AC-E31C03494653}" name="name_of_soil_profile"/>
    <tableColumn id="3" xr3:uid="{5CEB5990-1801-4232-8C07-8117165E43BA}" name="soil_location_country"/>
    <tableColumn id="4" xr3:uid="{11FC6B58-9F1A-4327-B5F1-D07E7327E1EE}" name="soil_loc_2nd_level"/>
    <tableColumn id="5" xr3:uid="{AE88C3DA-81D8-4914-99F8-EFE7198B7784}" name="soil_loc_3rd_level"/>
    <tableColumn id="6" xr3:uid="{023EC78A-A89B-4022-B8B4-2A00E9A2C2F4}" name="latitude_soil_profile"/>
    <tableColumn id="7" xr3:uid="{E8AF93DB-E137-49BE-A57C-D6AE91EEB52B}" name="longitude_soil_profile"/>
    <tableColumn id="8" xr3:uid="{F87753B0-4118-4851-8925-43BAE8544BF8}" name="soil_site_elevation"/>
    <tableColumn id="9" xr3:uid="{8F3B9511-40CD-418E-B87D-A604950D1BF0}" name="soil_depth"/>
    <tableColumn id="10" xr3:uid="{A294C244-6235-427D-A27D-2865F26058E6}" name="soil_profile_slope"/>
    <tableColumn id="11" xr3:uid="{03566B6E-1192-49CB-AE2B-2F6B9EA208C7}" name="soil_source"/>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L5" totalsRowShown="0" headerRowDxfId="207">
  <autoFilter ref="A4:L5" xr:uid="{14E9D701-1C4A-4272-8CD2-D69B1CB18D26}"/>
  <tableColumns count="12">
    <tableColumn id="1" xr3:uid="{77579958-6324-4474-9590-F843B0F96336}" name="soil_profile_ID"/>
    <tableColumn id="2" xr3:uid="{C330FE4D-56FF-4BC6-877B-2F1E4D534CC9}" name="soil_classific_system"/>
    <tableColumn id="3" xr3:uid="{3CA4AA88-0DE9-48F6-96F0-1D380B565A78}" name="soil_classification"/>
    <tableColumn id="4" xr3:uid="{0BDB2B97-8CEC-4EDB-A4D3-630DD693C883}" name="soil_drainage_class"/>
    <tableColumn id="5" xr3:uid="{000518D3-FF1D-421E-BB3B-F27B582A32B9}" name="soil_albedo"/>
    <tableColumn id="6" xr3:uid="{3E2DE66B-24F2-4CFB-A793-70366C3C1A2A}" name="soil_albedo_moist"/>
    <tableColumn id="7" xr3:uid="{6C0E2937-BAFA-4E88-8780-7A14DF6EB968}" name="soil_evaporation_limit"/>
    <tableColumn id="8" xr3:uid="{72EF92FF-0589-4726-949B-9B5F6199AF03}" name="drainage_rate_per_day"/>
    <tableColumn id="9" xr3:uid="{D90EE4A4-65C2-46A9-BEFA-2C33874F07CB}" name="runoff_curve_no_SCS"/>
    <tableColumn id="10" xr3:uid="{5CA31174-E18A-47B5-A091-78947D5A45C1}" name="soil_surface_color"/>
    <tableColumn id="11" xr3:uid="{6F3A24B6-C226-43E2-9C1F-3B83D35E9D96}" name="mineralization_factor"/>
    <tableColumn id="12" xr3:uid="{0F606CA2-DF35-43E2-A5B1-CDC7730A182F}" name="soil_texture"/>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Z5" totalsRowShown="0" headerRowDxfId="206">
  <autoFilter ref="A4:Z5" xr:uid="{B06385CB-7B6E-405F-977A-CBB0D33AB843}"/>
  <tableColumns count="26">
    <tableColumn id="1" xr3:uid="{420F3946-BC67-43CA-B782-26D94576E058}" name="soil_profile_ID"/>
    <tableColumn id="2" xr3:uid="{D22F9DE8-A10E-4FDD-9A31-3CB435AD45E3}" name="soil_layer_top_depth"/>
    <tableColumn id="3" xr3:uid="{1D0A37E2-3D3A-4EF4-BB5D-85D224897D6D}" name="soil_layer_base_depth"/>
    <tableColumn id="4" xr3:uid="{3C291ACF-A5BE-40EE-96E1-4473C04F1261}" name="master_horizon" dataDxfId="85"/>
    <tableColumn id="5" xr3:uid="{CFB3A252-9FA7-4D24-8F3E-D6F4B156CE9B}" name="soil_clay_fraction" dataDxfId="84"/>
    <tableColumn id="6" xr3:uid="{867FFF80-13C1-4C05-AA21-BA350F6E0721}" name="soil_inert_C" dataDxfId="83"/>
    <tableColumn id="7" xr3:uid="{746DBD77-1189-4A34-8278-1DF7674E096D}" name="soil_inert_C_fraction" dataDxfId="82"/>
    <tableColumn id="8" xr3:uid="{9DA4E5C2-D7B2-4349-B39C-6306A2AB8275}" name="soil_stable_C" dataDxfId="81"/>
    <tableColumn id="9" xr3:uid="{2C240A84-26E4-462F-A64D-BE208E667FB3}" name="soil_stable_C_fraction" dataDxfId="80"/>
    <tableColumn id="10" xr3:uid="{A9847EF9-89CB-48F9-A74F-C28FC55B7224}" name="soil_silt_fraction" dataDxfId="79"/>
    <tableColumn id="11" xr3:uid="{0A0E3603-30C4-45D0-B7C3-8B54DF91C626}" name="soil_sand_fraction" dataDxfId="78"/>
    <tableColumn id="12" xr3:uid="{979A0024-95E2-4F75-BF56-B397DFBE34C8}" name="soil_coarse_fraction" dataDxfId="77"/>
    <tableColumn id="13" xr3:uid="{E29E1973-2CBE-4932-AB19-3AD1CC30466C}" name="soil_organic_C_perc_layr" dataDxfId="76"/>
    <tableColumn id="14" xr3:uid="{A1C91ABA-CDD2-43E3-BE59-3A53D4D99E34}" name="soil_pH_in_water" dataDxfId="75"/>
    <tableColumn id="15" xr3:uid="{335256F5-A30B-4B48-B5F8-0FB4A7984472}" name="soil_bulk_density_moist" dataDxfId="74"/>
    <tableColumn id="16" xr3:uid="{8FA29839-6BA3-4418-A583-F7E6DC9C897D}" name="soil_water_air_dry" dataDxfId="73"/>
    <tableColumn id="17" xr3:uid="{8187424B-3FE9-46C2-AA74-DEE5A05577FE}" name="soil_water_lower_limit" dataDxfId="72"/>
    <tableColumn id="18" xr3:uid="{0C2E2DF8-44E2-4796-95F4-85F0D2707863}" name="soil_water_wilting_pt" dataDxfId="71"/>
    <tableColumn id="19" xr3:uid="{13371092-DAAD-4B50-B491-1263773DAAFC}" name="soil_water_field_cap_1" dataDxfId="70"/>
    <tableColumn id="20" xr3:uid="{BEAE72CE-54DE-4456-A407-AD287C5ED3A1}" name="soil_water_field_cap_2" dataDxfId="69"/>
    <tableColumn id="21" xr3:uid="{B364207C-5600-4422-99B9-05FAE81CA06A}" name="soil_wat_drned_upper_lim" dataDxfId="68"/>
    <tableColumn id="22" xr3:uid="{97AC8D28-4254-4A05-BE05-7CFCE5438A4C}" name="soil_water_saturated" dataDxfId="67"/>
    <tableColumn id="23" xr3:uid="{0A2C07B0-8666-46D5-B047-3EFD3013363F}" name="sat_hydraul_conductivity" dataDxfId="66"/>
    <tableColumn id="24" xr3:uid="{46462A58-F5DA-4050-A736-FCAE42C6620E}" name="cation_exchange_capacity" dataDxfId="65"/>
    <tableColumn id="25" xr3:uid="{86D59E1A-FF69-4BEC-A1D1-1DB795A7A771}" name="soil_organic_N_conc" dataDxfId="64"/>
    <tableColumn id="26" xr3:uid="{C8445C40-F6C3-4325-A2FE-925BECEFB06C}" name="root_growth_factor_soil" dataDxfId="63"/>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5" totalsRowShown="0" headerRowDxfId="205">
  <autoFilter ref="A4:L5" xr:uid="{506D2BCE-E568-448F-8779-3B54605BBFFE}"/>
  <tableColumns count="12">
    <tableColumn id="1" xr3:uid="{DB31981C-5F47-40DC-82F4-25DE9491EE54}" name="weather_station_id"/>
    <tableColumn id="2" xr3:uid="{817DDA8A-92BA-4DA3-8B53-3DFFEA724702}" name="weather_station_name"/>
    <tableColumn id="3" xr3:uid="{105BFAB4-F9C1-420A-89F2-3F65625DFAF9}" name="weather_station_site"/>
    <tableColumn id="4" xr3:uid="{468A82B1-C9A9-42AC-A22D-CEC506F1073C}" name="wsta_location_country"/>
    <tableColumn id="5" xr3:uid="{E929CA5A-14B9-4E6F-ABE2-2167BF5EFB00}" name="wsta_loc_2nd_level"/>
    <tableColumn id="6" xr3:uid="{05439B1A-A3FD-4DC6-AC75-47ACE6EA59A0}" name="wsta_loc_3rd_level"/>
    <tableColumn id="7" xr3:uid="{ECAF2EA5-CCAA-44D8-A968-B7DB1470C250}" name="weather_sta_latitude"/>
    <tableColumn id="8" xr3:uid="{3B8E4BB1-E962-4D97-865C-03BCCAB656F2}" name="weather_sta_longitude"/>
    <tableColumn id="9" xr3:uid="{9F6FC6EE-7019-475C-9089-F0C8D04EA9C8}" name="weather_sta_elevation"/>
    <tableColumn id="10" xr3:uid="{F916A068-99DC-4AD3-A24A-CD1581E9DFA5}" name="temperature_sensor_ht"/>
    <tableColumn id="11" xr3:uid="{40CDF2DC-C9D1-4F02-9FFA-2D475CE0CD0A}" name="ref_height_windsp_meas"/>
    <tableColumn id="12" xr3:uid="{9EFC118F-C92B-404E-9E2D-81A8AC97DFA4}" name="ref_height_weather_meas"/>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K5" totalsRowShown="0" headerRowDxfId="204" tableBorderDxfId="203">
  <autoFilter ref="A4:K5" xr:uid="{B43A5523-FDE0-40F3-935F-821A5B79A027}"/>
  <tableColumns count="11">
    <tableColumn id="1" xr3:uid="{F47E75C8-8E51-49B8-85CD-FF758B7B2C18}" name="weather_id">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tableColumn id="3" xr3:uid="{59266200-B8EF-487E-8CDE-AB1731780BAF}" name="weather_date"/>
    <tableColumn id="11" xr3:uid="{AC29F5BE-B529-438B-A9A4-AFC05050A786}" name="solar_radiation"/>
    <tableColumn id="12" xr3:uid="{A7851DBA-C3CB-440B-8C86-0C0EDD4C0FD9}" name="maximum_temperature"/>
    <tableColumn id="13" xr3:uid="{3D8F893F-E73E-4A13-89CD-F76BE6603B25}" name="minimum_temperature"/>
    <tableColumn id="14" xr3:uid="{EAC7083F-8CD1-4A33-8554-0754968A3507}" name="precipitation"/>
    <tableColumn id="15" xr3:uid="{70D9E659-B779-4E5F-9856-8F710B832D04}" name="wind_speed_daily"/>
    <tableColumn id="16" xr3:uid="{38DBC718-29BD-425B-8D52-EE108FAF391F}" name="ozone_daily_max"/>
    <tableColumn id="17" xr3:uid="{99C4222D-72F5-47E3-A8F2-6BDCF6DDC11C}" name="temperature_dewpoint"/>
    <tableColumn id="18" xr3:uid="{921D17A5-BEB4-4F32-84A1-5926A3B75E03}" name="CO2_conc_atmosphere_daily"/>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D22" totalsRowShown="0" headerRowDxfId="202">
  <autoFilter ref="A4:D22" xr:uid="{7326F1A7-917C-48E7-8ED5-785564BFAE62}"/>
  <tableColumns count="4">
    <tableColumn id="1" xr3:uid="{AF200490-70BF-43A2-9ECB-60C134651942}" name="experiment_ID"/>
    <tableColumn id="2" xr3:uid="{3D1ABA98-3CC7-4BDC-9E90-5BDA53CE65C1}" name="observ_treat_ID"/>
    <tableColumn id="3" xr3:uid="{BA19F87E-814D-47EF-BDBF-B878D04F1F21}" name="plot_ID" dataDxfId="201"/>
    <tableColumn id="4" xr3:uid="{D9A6BA58-5019-49AA-892A-65C16AADC569}" name="treatment_number"/>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G15" totalsRowShown="0" headerRowDxfId="55">
  <autoFilter ref="A4:G15" xr:uid="{637C23B0-AA44-4AA6-9E36-40568E969208}"/>
  <tableColumns count="7">
    <tableColumn id="1" xr3:uid="{DE0A8CFB-86B1-46C2-B611-583E5EEA8561}" name="experiment_ID"/>
    <tableColumn id="11" xr3:uid="{A8BAB0B1-FE44-4DF2-9DA8-89C5C167AF32}" name="OID"/>
    <tableColumn id="7" xr3:uid="{563854A2-C7A8-4F97-A0CC-793ABCD68755}" name="treatment_lev_ID"/>
    <tableColumn id="4" xr3:uid="{240574D7-3F99-4904-A1C9-FB181677FE26}" name="plot_ID"/>
    <tableColumn id="5" xr3:uid="{7F1636B8-8FAC-44AD-ABA7-9DDCD3E5CABE}" name="treatment_number"/>
    <tableColumn id="89" xr3:uid="{249E2369-CC86-46F7-8675-DB0347726A4A}" name="observation_number"/>
    <tableColumn id="91" xr3:uid="{4698CDBF-6B1C-44F4-B9F5-13C13E986BFA}" name="harvest_yld_matur_dry_w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I5" totalsRowShown="0" headerRowDxfId="200" dataDxfId="199">
  <autoFilter ref="A4:I5" xr:uid="{637C23B0-AA44-4AA6-9E36-40568E969208}"/>
  <tableColumns count="9">
    <tableColumn id="1" xr3:uid="{7F2CE5A8-CAE8-42CF-8EC4-7CF8AC8BBBAD}" name="experiment_ID" dataDxfId="198"/>
    <tableColumn id="13" xr3:uid="{ACF5DB26-36BD-4F70-809C-3836E1B5022C}" name="OID" dataDxfId="197"/>
    <tableColumn id="4" xr3:uid="{014CE956-2092-460F-B73D-996A8A933E12}" name="treatment_lev_ID" dataDxfId="196"/>
    <tableColumn id="5" xr3:uid="{7580570C-1BBB-4F30-8EA6-9744CCBDD0E9}" name="plot_ID" dataDxfId="195"/>
    <tableColumn id="89" xr3:uid="{9CE2AC7A-F0E6-458A-A181-C43995D3AB92}" name="treatment_number" dataDxfId="194"/>
    <tableColumn id="17" xr3:uid="{60313B67-A908-4FE9-AA12-289F429B903B}" name="observation_number" dataDxfId="193"/>
    <tableColumn id="23" xr3:uid="{13413C71-5B8A-4E65-A839-CC7E82371386}" name="anthesis_date" dataDxfId="192"/>
    <tableColumn id="24" xr3:uid="{878B32D2-3FBC-4194-A85A-B6F1AF866804}" name="physiologic_maturity_dat" dataDxfId="191"/>
    <tableColumn id="25" xr3:uid="{A0494E4F-07CE-4A58-96CA-F6F1C5F1C223}" name="harvest_date" dataDxfId="190"/>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F5" totalsRowShown="0" headerRowDxfId="189" dataDxfId="188">
  <autoFilter ref="A4:F5" xr:uid="{637C23B0-AA44-4AA6-9E36-40568E969208}"/>
  <tableColumns count="6">
    <tableColumn id="1" xr3:uid="{B87FBDA4-8115-4225-8366-96E97D8EBB56}" name="experiment_ID" dataDxfId="187"/>
    <tableColumn id="11" xr3:uid="{0C1E3508-5501-45A2-9809-719B92A46147}" name="OID" dataDxfId="186"/>
    <tableColumn id="7" xr3:uid="{949640D5-CED6-4147-A3E6-A7E2C387493E}" name="treatment_lev_ID" dataDxfId="185"/>
    <tableColumn id="4" xr3:uid="{1C061A83-9D92-467F-9C1B-38BA3A873969}" name="plot_ID" dataDxfId="184"/>
    <tableColumn id="5" xr3:uid="{CDB24A26-4309-472D-AE83-5255AEFEC65A}" name="treatment_number" dataDxfId="183"/>
    <tableColumn id="89" xr3:uid="{896E25E6-AB99-494E-B151-1CE90622844D}" name="observation_number" dataDxfId="182"/>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F5" totalsRowShown="0" headerRowDxfId="181" dataDxfId="180">
  <autoFilter ref="A4:F5" xr:uid="{637C23B0-AA44-4AA6-9E36-40568E969208}"/>
  <tableColumns count="6">
    <tableColumn id="1" xr3:uid="{D5F09AF8-2259-482A-84B0-C8DC0E6EF27A}" name="experiment_ID" dataDxfId="179"/>
    <tableColumn id="11" xr3:uid="{488849E2-0EF6-48EC-BE58-1E35B5367353}" name="OID" dataDxfId="178"/>
    <tableColumn id="7" xr3:uid="{8BBAD5C2-9C7B-43B6-8B0F-468D5033C9AD}" name="treatment_lev_ID" dataDxfId="177"/>
    <tableColumn id="4" xr3:uid="{ADF50F44-6798-4D8F-AFFA-C85372ECD226}" name="plot_ID" dataDxfId="176"/>
    <tableColumn id="5" xr3:uid="{C7833CC8-5CB8-460E-BA01-FB86B3075982}" name="treatment_number" dataDxfId="175"/>
    <tableColumn id="89" xr3:uid="{2D852C3C-CCC0-46E2-956A-6B7D5A1423EF}" name="observation_number" dataDxfId="174"/>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F5" totalsRowShown="0" headerRowDxfId="173" dataDxfId="172">
  <autoFilter ref="A4:F5" xr:uid="{637C23B0-AA44-4AA6-9E36-40568E969208}"/>
  <tableColumns count="6">
    <tableColumn id="1" xr3:uid="{93930785-BC88-47D7-879E-99D2D080CC0E}" name="experiment_ID" dataDxfId="171"/>
    <tableColumn id="11" xr3:uid="{2A4009E5-2D58-434C-A372-81F77D82653D}" name="OID" dataDxfId="170"/>
    <tableColumn id="7" xr3:uid="{31D58FCE-03CF-47EE-9E28-37C46762B6F8}" name="treatment_lev_ID" dataDxfId="169"/>
    <tableColumn id="4" xr3:uid="{0F9E66EA-F9AC-4490-A290-F886F5991D61}" name="plot_ID" dataDxfId="168"/>
    <tableColumn id="5" xr3:uid="{1A9F9D64-E5E0-4C59-917B-A5101BE074F6}" name="treatment_number" dataDxfId="167"/>
    <tableColumn id="89" xr3:uid="{5566ECB4-5E89-4A70-AF17-FC1F3A2C7B50}" name="observation_number" dataDxfId="166"/>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F6" totalsRowShown="0" headerRowDxfId="165" dataDxfId="164">
  <autoFilter ref="A4:F6" xr:uid="{637C23B0-AA44-4AA6-9E36-40568E969208}"/>
  <tableColumns count="6">
    <tableColumn id="1" xr3:uid="{17E467C8-AEC4-4793-A931-0B5349ABACE3}" name="experiment_ID" dataDxfId="163"/>
    <tableColumn id="11" xr3:uid="{99F48BEC-16A4-48D6-937A-A22ECF7748CC}" name="OID" dataDxfId="162"/>
    <tableColumn id="7" xr3:uid="{2892904C-2D99-472D-A2DD-2610772E3CB8}" name="treatment_lev_ID" dataDxfId="161"/>
    <tableColumn id="4" xr3:uid="{CFA8048B-DEC2-44D1-9625-216BAE85E156}" name="plot_ID" dataDxfId="160"/>
    <tableColumn id="5" xr3:uid="{8053B4BF-358E-47A5-A5BA-5A4C1513E2AA}" name="treatment_number" dataDxfId="159"/>
    <tableColumn id="89" xr3:uid="{63893810-FB26-4944-BEDE-B75A06B2B053}" name="observation_number" dataDxfId="158"/>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G5" totalsRowShown="0" headerRowDxfId="157" dataDxfId="156">
  <autoFilter ref="A4:G5" xr:uid="{20435861-579E-497D-999A-529F7B05BFEA}"/>
  <tableColumns count="7">
    <tableColumn id="1" xr3:uid="{11EC9595-1DB0-43F4-9CA1-4CAD69107C94}" name="experiment_ID" dataDxfId="155"/>
    <tableColumn id="2" xr3:uid="{305CB5EB-EFE8-4D62-937D-EF44AB183248}" name="OID" dataDxfId="154"/>
    <tableColumn id="7" xr3:uid="{50C22B6E-13B8-4787-86CF-36F99C0E8077}" name="treatment_lev_ID" dataDxfId="153"/>
    <tableColumn id="3" xr3:uid="{3E5D97AE-62AF-4965-8CA2-B4FB9F24CAFB}" name="plot_ID" dataDxfId="152"/>
    <tableColumn id="4" xr3:uid="{E1C2B2DC-E469-4315-989D-997E50622464}" name="treatment_number" dataDxfId="151"/>
    <tableColumn id="5" xr3:uid="{C32DE6CE-BEF9-40B8-9191-A599AB52DB5F}" name="date_of_measurement" dataDxfId="150"/>
    <tableColumn id="6" xr3:uid="{3072FE54-6EFE-45D2-8E36-3136F081E474}" name="observation_number" dataDxfId="149"/>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G5" totalsRowShown="0" headerRowDxfId="148" dataDxfId="147">
  <autoFilter ref="A4:G5" xr:uid="{20435861-579E-497D-999A-529F7B05BFEA}"/>
  <tableColumns count="7">
    <tableColumn id="1" xr3:uid="{B8036022-A3F9-407C-BDDA-F89E0B7E4DD5}" name="experiment_ID" dataDxfId="146"/>
    <tableColumn id="2" xr3:uid="{5D7745B3-40C7-4161-826C-06F478EA85BC}" name="OID" dataDxfId="145"/>
    <tableColumn id="7" xr3:uid="{F3D76335-2B28-4514-B119-8F0FC5454B9D}" name="treatment_lev_ID" dataDxfId="144"/>
    <tableColumn id="3" xr3:uid="{F71FC1DC-2D95-48CB-A17E-E4A714B778C5}" name="plot_ID" dataDxfId="143"/>
    <tableColumn id="4" xr3:uid="{1A7611A1-BDAB-4B28-B346-89B6E1522AF9}" name="treatment_number" dataDxfId="142"/>
    <tableColumn id="5" xr3:uid="{DB78B44F-CC0C-49E7-8619-C8EFABE45E13}" name="date_of_measurement" dataDxfId="141"/>
    <tableColumn id="6" xr3:uid="{E033292B-122E-4E27-B860-57670BFE3E52}" name="observation_number" dataDxfId="140"/>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G5" totalsRowShown="0" headerRowDxfId="139" dataDxfId="138">
  <autoFilter ref="A4:G5" xr:uid="{20435861-579E-497D-999A-529F7B05BFEA}"/>
  <tableColumns count="7">
    <tableColumn id="1" xr3:uid="{89CB7365-2CAB-4D48-95F2-FC0553783ADC}" name="experiment_ID" dataDxfId="137"/>
    <tableColumn id="2" xr3:uid="{DA16741B-FDED-46BB-AA3F-E472741B9279}" name="OID" dataDxfId="136"/>
    <tableColumn id="7" xr3:uid="{C4EF157F-705C-494E-9CE0-3472BE316CB4}" name="treatment_lev_ID" dataDxfId="135"/>
    <tableColumn id="3" xr3:uid="{F5BCFDA0-5E6D-45E3-A27A-D5F441C60E5E}" name="plot_ID" dataDxfId="134"/>
    <tableColumn id="4" xr3:uid="{A4239645-4017-4A65-868A-C9B5765F0F43}" name="treatment_number" dataDxfId="133"/>
    <tableColumn id="5" xr3:uid="{85F55033-DDC1-4BEA-87F9-746C2C0524D2}" name="date_of_measurement" dataDxfId="132"/>
    <tableColumn id="6" xr3:uid="{9731BC91-4C74-413D-A3F3-CB37129DFA21}" name="observation_number" dataDxfId="131"/>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G5" totalsRowShown="0" headerRowDxfId="130" dataDxfId="129">
  <autoFilter ref="A4:G5" xr:uid="{20435861-579E-497D-999A-529F7B05BFEA}"/>
  <tableColumns count="7">
    <tableColumn id="1" xr3:uid="{AF3EC75C-AC58-4C49-810A-F0D2C6D5E56B}" name="experiment_ID" dataDxfId="128"/>
    <tableColumn id="2" xr3:uid="{2C792D2A-5178-4F28-9AE0-EC3153B4F621}" name="OID" dataDxfId="127"/>
    <tableColumn id="7" xr3:uid="{F0A3331C-3F1B-499A-8B1E-D75660A65187}" name="treatment_lev_ID" dataDxfId="126"/>
    <tableColumn id="3" xr3:uid="{20C8288D-F7BF-404B-B288-90743BFD6A05}" name="plot_ID" dataDxfId="125"/>
    <tableColumn id="4" xr3:uid="{403FB5CF-6F52-4810-AB8F-8BD8D2A69111}" name="treatment_number" dataDxfId="124"/>
    <tableColumn id="5" xr3:uid="{FD28EE3F-6539-49AF-A5AE-3BB34EE717E0}" name="date_of_measurement" dataDxfId="123"/>
    <tableColumn id="6" xr3:uid="{DFD6CF61-6FA6-4653-A0E2-D5EDEEF9B087}" name="observation_number" dataDxfId="122"/>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G5" totalsRowShown="0" headerRowDxfId="121" dataDxfId="120">
  <autoFilter ref="A4:G5" xr:uid="{20435861-579E-497D-999A-529F7B05BFEA}"/>
  <tableColumns count="7">
    <tableColumn id="1" xr3:uid="{8BE22FC2-0945-492E-869E-9F726D70D0DB}" name="experiment_ID" dataDxfId="119"/>
    <tableColumn id="2" xr3:uid="{ADEF0E45-3EF7-400E-942B-C7A4A4C80A70}" name="OID" dataDxfId="118"/>
    <tableColumn id="7" xr3:uid="{EC78117E-E48E-4C5C-B123-5BE0EEF1F776}" name="treatment_lev_ID" dataDxfId="117"/>
    <tableColumn id="3" xr3:uid="{7D5C6264-9CC0-423B-A427-112238C840B2}" name="plot_ID" dataDxfId="116"/>
    <tableColumn id="4" xr3:uid="{6A640BCC-F154-4EE4-8781-E74E1EB06DBB}" name="treatment_number" dataDxfId="115"/>
    <tableColumn id="5" xr3:uid="{ABC2387E-32FA-403D-B807-54F5F414411D}" name="date_of_measurement" dataDxfId="114"/>
    <tableColumn id="6" xr3:uid="{82B55AFD-0438-4986-8D2A-2810BFAF9519}" name="observation_number" dataDxfId="113"/>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G5" totalsRowShown="0" headerRowDxfId="112" dataDxfId="111">
  <autoFilter ref="A4:G5" xr:uid="{20435861-579E-497D-999A-529F7B05BFEA}"/>
  <tableColumns count="7">
    <tableColumn id="1" xr3:uid="{5BCCE7C5-FD3C-442A-B586-A6599A57DF69}" name="experiment_ID" dataDxfId="110"/>
    <tableColumn id="2" xr3:uid="{701B6E61-31A1-4174-837C-6EB72DA14B9F}" name="OID" dataDxfId="109"/>
    <tableColumn id="7" xr3:uid="{C558DE82-A40E-498D-B00E-15BA26CAB706}" name="treatment_lev_ID" dataDxfId="108"/>
    <tableColumn id="3" xr3:uid="{E8952C75-A5BB-4EB9-B41D-8457784DDB38}" name="plot_ID" dataDxfId="107"/>
    <tableColumn id="4" xr3:uid="{33F79646-A0C0-40E3-BB1F-35257EEA5162}" name="treatment_number" dataDxfId="106"/>
    <tableColumn id="5" xr3:uid="{37CAE8AD-4172-48A4-9706-11D53C899D9E}" name="date_of_measurement" dataDxfId="105"/>
    <tableColumn id="6" xr3:uid="{6B997D94-5977-45BB-97D8-F0CA07A49321}" name="observation_number" dataDxfId="104"/>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G5" totalsRowShown="0" headerRowDxfId="103" dataDxfId="102">
  <autoFilter ref="A4:G5" xr:uid="{20435861-579E-497D-999A-529F7B05BFEA}"/>
  <tableColumns count="7">
    <tableColumn id="1" xr3:uid="{8C961294-5479-467C-9C60-E8E3C0E6215A}" name="experiment_ID" dataDxfId="101"/>
    <tableColumn id="2" xr3:uid="{5641429A-4148-4317-9B2F-AF9FCAD33320}" name="OID" dataDxfId="100"/>
    <tableColumn id="7" xr3:uid="{ADD2C3BE-F80A-4BB6-A034-0FD0DF78B345}" name="treatment_lev_ID" dataDxfId="99"/>
    <tableColumn id="3" xr3:uid="{75743EB1-17BE-4FD8-AF9D-654D27AEF88A}" name="plot_ID" dataDxfId="98"/>
    <tableColumn id="4" xr3:uid="{1C2CED32-D082-405D-87B7-4FDCA39DD9CE}" name="treatment_number" dataDxfId="97"/>
    <tableColumn id="5" xr3:uid="{808B5092-A762-44A3-A768-4EBA5825737C}" name="date_of_measurement" dataDxfId="96"/>
    <tableColumn id="6" xr3:uid="{2A66A12B-6CB0-4DA7-B1EA-4271BB204D91}" name="observation_number" dataDxfId="95"/>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G5" totalsRowShown="0" headerRowDxfId="94" dataDxfId="93">
  <autoFilter ref="A4:G5" xr:uid="{20435861-579E-497D-999A-529F7B05BFEA}"/>
  <tableColumns count="7">
    <tableColumn id="1" xr3:uid="{2EF3C722-FCC0-4214-8D63-B7DED8911425}" name="experiment_ID" dataDxfId="92"/>
    <tableColumn id="2" xr3:uid="{A23A373E-86D5-4580-B14C-32E7AE756E42}" name="OID" dataDxfId="91"/>
    <tableColumn id="7" xr3:uid="{835FF07C-C4D7-43FB-B407-0623225A1410}" name="treatment_lev_ID" dataDxfId="90"/>
    <tableColumn id="3" xr3:uid="{4702E732-4913-4E46-86EA-E67D7D5B5F2D}" name="plot_ID" dataDxfId="89"/>
    <tableColumn id="4" xr3:uid="{ADB918F4-9B30-4258-9A00-05AA385B4B15}" name="treatment_number" dataDxfId="88"/>
    <tableColumn id="5" xr3:uid="{30D0339F-444F-45E7-924A-CF8428AB64DA}" name="date_of_measurement" dataDxfId="87"/>
    <tableColumn id="6" xr3:uid="{496BDF75-6741-4D03-9447-413F81817664}" name="observation_number" dataDxfId="86"/>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29"/>
  <sheetViews>
    <sheetView zoomScaleNormal="100" workbookViewId="0">
      <selection activeCell="C29" sqref="C29"/>
    </sheetView>
  </sheetViews>
  <sheetFormatPr defaultColWidth="8.7109375" defaultRowHeight="15.75" x14ac:dyDescent="0.25"/>
  <cols>
    <col min="1" max="1" width="1.85546875" style="25" customWidth="1"/>
    <col min="2" max="2" width="3.5703125" style="25" customWidth="1"/>
    <col min="3" max="3" width="30.42578125" style="25" customWidth="1"/>
    <col min="4" max="4" width="23.42578125" style="25" hidden="1" customWidth="1"/>
    <col min="5" max="5" width="3.7109375" style="33" customWidth="1"/>
    <col min="6" max="6" width="3.7109375" style="25" hidden="1" customWidth="1"/>
    <col min="7" max="7" width="3.7109375" style="25" customWidth="1"/>
    <col min="8" max="8" width="2.5703125" style="25" customWidth="1"/>
    <col min="9" max="9" width="30.42578125" style="25" customWidth="1"/>
    <col min="10" max="10" width="23.42578125" style="25" hidden="1" customWidth="1"/>
    <col min="11" max="11" width="4.85546875" style="31" customWidth="1"/>
    <col min="12" max="12" width="3.7109375" style="25" hidden="1" customWidth="1"/>
    <col min="13" max="13" width="3.7109375" style="25" customWidth="1"/>
    <col min="14" max="16384" width="8.7109375" style="25"/>
  </cols>
  <sheetData>
    <row r="1" spans="1:11" ht="6.75" customHeight="1" x14ac:dyDescent="0.25"/>
    <row r="2" spans="1:11" ht="18.75" x14ac:dyDescent="0.3">
      <c r="B2" s="50" t="s">
        <v>6961</v>
      </c>
      <c r="C2" s="51"/>
      <c r="D2" s="52"/>
      <c r="E2" s="53"/>
      <c r="F2" s="54"/>
      <c r="G2" s="54"/>
      <c r="H2" s="54"/>
      <c r="I2" s="55"/>
      <c r="J2" s="54"/>
      <c r="K2" s="56" t="s">
        <v>90</v>
      </c>
    </row>
    <row r="3" spans="1:11" ht="11.1" customHeight="1" x14ac:dyDescent="0.25"/>
    <row r="4" spans="1:11" ht="25.5" customHeight="1" x14ac:dyDescent="0.35">
      <c r="B4" s="163" t="s">
        <v>45</v>
      </c>
      <c r="C4" s="163"/>
      <c r="D4" s="163"/>
      <c r="E4" s="163"/>
      <c r="H4" s="163" t="s">
        <v>2048</v>
      </c>
      <c r="I4" s="163"/>
      <c r="J4" s="163"/>
      <c r="K4" s="163"/>
    </row>
    <row r="5" spans="1:11" ht="11.1" customHeight="1" x14ac:dyDescent="0.25"/>
    <row r="6" spans="1:11" ht="18" customHeight="1" x14ac:dyDescent="0.25">
      <c r="B6" s="164" t="s">
        <v>6971</v>
      </c>
      <c r="C6" s="164"/>
      <c r="D6" s="26"/>
      <c r="E6" s="34"/>
      <c r="H6" s="135" t="s">
        <v>6962</v>
      </c>
      <c r="I6" s="135"/>
      <c r="J6" s="44"/>
      <c r="K6" s="49"/>
    </row>
    <row r="7" spans="1:11" ht="18" customHeight="1" x14ac:dyDescent="0.25">
      <c r="A7" s="39"/>
      <c r="B7" s="40" t="s">
        <v>2598</v>
      </c>
      <c r="C7" s="46" t="s">
        <v>6679</v>
      </c>
      <c r="D7" s="41" t="s">
        <v>43</v>
      </c>
      <c r="E7" s="42" t="s">
        <v>2127</v>
      </c>
      <c r="F7" s="39"/>
      <c r="G7" s="39"/>
      <c r="H7" s="40" t="s">
        <v>2598</v>
      </c>
      <c r="I7" s="46" t="s">
        <v>6965</v>
      </c>
      <c r="J7" s="41" t="s">
        <v>86</v>
      </c>
      <c r="K7" s="43" t="s">
        <v>2126</v>
      </c>
    </row>
    <row r="8" spans="1:11" ht="18" customHeight="1" x14ac:dyDescent="0.25">
      <c r="A8" s="39"/>
      <c r="B8" s="40" t="s">
        <v>2598</v>
      </c>
      <c r="C8" s="46" t="s">
        <v>6680</v>
      </c>
      <c r="D8" s="41" t="s">
        <v>2047</v>
      </c>
      <c r="E8" s="42" t="s">
        <v>2127</v>
      </c>
      <c r="F8" s="39"/>
      <c r="G8" s="39"/>
      <c r="H8" s="40" t="s">
        <v>2598</v>
      </c>
      <c r="I8" s="46" t="s">
        <v>6966</v>
      </c>
      <c r="J8" s="41" t="s">
        <v>84</v>
      </c>
      <c r="K8" s="43" t="s">
        <v>2126</v>
      </c>
    </row>
    <row r="9" spans="1:11" ht="18" customHeight="1" x14ac:dyDescent="0.25">
      <c r="A9" s="39"/>
      <c r="B9" s="40" t="s">
        <v>2598</v>
      </c>
      <c r="C9" s="46" t="s">
        <v>1667</v>
      </c>
      <c r="D9" s="41" t="s">
        <v>56</v>
      </c>
      <c r="E9" s="42" t="s">
        <v>2127</v>
      </c>
      <c r="F9" s="39"/>
      <c r="G9" s="39"/>
      <c r="H9" s="40" t="s">
        <v>2598</v>
      </c>
      <c r="I9" s="161" t="s">
        <v>6967</v>
      </c>
      <c r="J9" s="41" t="s">
        <v>4273</v>
      </c>
      <c r="K9" s="43" t="s">
        <v>6964</v>
      </c>
    </row>
    <row r="10" spans="1:11" ht="18" customHeight="1" x14ac:dyDescent="0.25">
      <c r="A10" s="39"/>
      <c r="B10" s="40" t="s">
        <v>2598</v>
      </c>
      <c r="C10" s="46" t="s">
        <v>6681</v>
      </c>
      <c r="D10" s="41" t="s">
        <v>49</v>
      </c>
      <c r="E10" s="43" t="s">
        <v>2126</v>
      </c>
      <c r="F10" s="39"/>
      <c r="G10" s="39"/>
      <c r="H10" s="40" t="s">
        <v>2598</v>
      </c>
      <c r="I10" s="161" t="s">
        <v>6963</v>
      </c>
      <c r="J10" s="41" t="s">
        <v>4323</v>
      </c>
      <c r="K10" s="43" t="s">
        <v>6964</v>
      </c>
    </row>
    <row r="11" spans="1:11" ht="18" customHeight="1" x14ac:dyDescent="0.25">
      <c r="A11" s="39"/>
      <c r="B11" s="40" t="s">
        <v>2598</v>
      </c>
      <c r="C11" s="46" t="s">
        <v>6682</v>
      </c>
      <c r="D11" s="41" t="s">
        <v>51</v>
      </c>
      <c r="E11" s="43" t="s">
        <v>2126</v>
      </c>
      <c r="F11" s="39"/>
      <c r="G11" s="39"/>
      <c r="H11" s="40" t="s">
        <v>2598</v>
      </c>
      <c r="I11" s="161" t="s">
        <v>6968</v>
      </c>
      <c r="J11" s="41" t="s">
        <v>4315</v>
      </c>
      <c r="K11" s="43" t="s">
        <v>6964</v>
      </c>
    </row>
    <row r="12" spans="1:11" ht="18" customHeight="1" x14ac:dyDescent="0.25">
      <c r="A12" s="39"/>
      <c r="B12" s="40" t="s">
        <v>2598</v>
      </c>
      <c r="C12" s="46" t="s">
        <v>6683</v>
      </c>
      <c r="D12" s="41" t="s">
        <v>52</v>
      </c>
      <c r="E12" s="43" t="s">
        <v>2126</v>
      </c>
      <c r="F12" s="39"/>
      <c r="G12" s="39"/>
      <c r="H12" s="40" t="s">
        <v>2598</v>
      </c>
      <c r="I12" s="161" t="s">
        <v>6969</v>
      </c>
      <c r="J12" s="41" t="s">
        <v>4300</v>
      </c>
      <c r="K12" s="43" t="s">
        <v>6964</v>
      </c>
    </row>
    <row r="13" spans="1:11" ht="18" customHeight="1" x14ac:dyDescent="0.25">
      <c r="A13" s="39"/>
    </row>
    <row r="14" spans="1:11" ht="18" customHeight="1" x14ac:dyDescent="0.25">
      <c r="A14" s="39"/>
      <c r="B14" s="135" t="s">
        <v>6963</v>
      </c>
      <c r="C14" s="135"/>
      <c r="D14" s="44"/>
      <c r="E14" s="45"/>
      <c r="F14" s="39"/>
      <c r="G14" s="39"/>
      <c r="H14" s="135" t="s">
        <v>6970</v>
      </c>
      <c r="I14" s="135"/>
      <c r="J14" s="44"/>
      <c r="K14" s="49"/>
    </row>
    <row r="15" spans="1:11" ht="18" customHeight="1" x14ac:dyDescent="0.25">
      <c r="A15" s="39"/>
      <c r="B15" s="38" t="s">
        <v>2598</v>
      </c>
      <c r="C15" s="161" t="s">
        <v>6684</v>
      </c>
      <c r="D15" s="41" t="s">
        <v>2135</v>
      </c>
      <c r="E15" s="43" t="s">
        <v>6964</v>
      </c>
      <c r="F15" s="39"/>
      <c r="G15" s="39"/>
      <c r="H15" s="40" t="s">
        <v>2598</v>
      </c>
      <c r="I15" s="46" t="s">
        <v>6974</v>
      </c>
      <c r="J15" s="41" t="s">
        <v>4330</v>
      </c>
      <c r="K15" s="43" t="s">
        <v>2126</v>
      </c>
    </row>
    <row r="16" spans="1:11" ht="18" customHeight="1" x14ac:dyDescent="0.25">
      <c r="A16" s="39"/>
      <c r="B16" s="38" t="s">
        <v>2598</v>
      </c>
      <c r="C16" s="161" t="s">
        <v>6987</v>
      </c>
      <c r="D16" s="41" t="s">
        <v>2136</v>
      </c>
      <c r="E16" s="43" t="s">
        <v>6964</v>
      </c>
      <c r="F16" s="39"/>
      <c r="G16" s="39"/>
      <c r="H16" s="40" t="s">
        <v>2598</v>
      </c>
      <c r="I16" s="161" t="s">
        <v>6967</v>
      </c>
      <c r="J16" s="41" t="s">
        <v>4450</v>
      </c>
      <c r="K16" s="43" t="s">
        <v>6964</v>
      </c>
    </row>
    <row r="17" spans="1:11" ht="18" customHeight="1" x14ac:dyDescent="0.25">
      <c r="A17" s="39"/>
      <c r="B17" s="39"/>
      <c r="C17" s="39"/>
      <c r="D17" s="39"/>
      <c r="E17" s="48"/>
      <c r="F17" s="39"/>
      <c r="G17" s="39"/>
      <c r="H17" s="40" t="s">
        <v>2598</v>
      </c>
      <c r="I17" s="161" t="s">
        <v>6975</v>
      </c>
      <c r="J17" s="41" t="s">
        <v>4711</v>
      </c>
      <c r="K17" s="43" t="s">
        <v>6964</v>
      </c>
    </row>
    <row r="18" spans="1:11" ht="18" customHeight="1" x14ac:dyDescent="0.25">
      <c r="A18" s="39"/>
      <c r="B18" s="135" t="s">
        <v>6973</v>
      </c>
      <c r="C18" s="135"/>
      <c r="D18" s="26"/>
      <c r="E18" s="32"/>
      <c r="F18" s="39"/>
      <c r="G18" s="39"/>
      <c r="H18" s="40" t="s">
        <v>2598</v>
      </c>
      <c r="I18" s="161" t="s">
        <v>6976</v>
      </c>
      <c r="J18" s="41" t="s">
        <v>4739</v>
      </c>
      <c r="K18" s="43" t="s">
        <v>6964</v>
      </c>
    </row>
    <row r="19" spans="1:11" ht="18" x14ac:dyDescent="0.25">
      <c r="B19" s="40" t="s">
        <v>2598</v>
      </c>
      <c r="C19" s="47" t="s">
        <v>6685</v>
      </c>
      <c r="D19" s="41" t="s">
        <v>55</v>
      </c>
      <c r="E19" s="42" t="s">
        <v>2127</v>
      </c>
      <c r="H19" s="40" t="s">
        <v>2598</v>
      </c>
      <c r="I19" s="161" t="s">
        <v>6963</v>
      </c>
      <c r="J19" s="41" t="s">
        <v>4696</v>
      </c>
      <c r="K19" s="43" t="s">
        <v>6964</v>
      </c>
    </row>
    <row r="20" spans="1:11" ht="17.25" x14ac:dyDescent="0.25">
      <c r="B20" s="40" t="s">
        <v>2598</v>
      </c>
      <c r="C20" s="46" t="s">
        <v>1672</v>
      </c>
      <c r="D20" s="41" t="s">
        <v>2128</v>
      </c>
      <c r="E20" s="43" t="s">
        <v>2126</v>
      </c>
      <c r="H20" s="40" t="s">
        <v>2598</v>
      </c>
      <c r="I20" s="161" t="s">
        <v>6968</v>
      </c>
      <c r="J20" s="41" t="s">
        <v>4567</v>
      </c>
      <c r="K20" s="43" t="s">
        <v>6964</v>
      </c>
    </row>
    <row r="21" spans="1:11" ht="17.25" x14ac:dyDescent="0.25">
      <c r="B21" s="40" t="s">
        <v>2598</v>
      </c>
      <c r="C21" s="161" t="s">
        <v>2049</v>
      </c>
      <c r="D21" s="41" t="s">
        <v>2130</v>
      </c>
      <c r="E21" s="43" t="s">
        <v>6964</v>
      </c>
      <c r="H21" s="40" t="s">
        <v>2598</v>
      </c>
      <c r="I21" s="161" t="s">
        <v>6969</v>
      </c>
      <c r="J21" s="41" t="s">
        <v>4535</v>
      </c>
      <c r="K21" s="43" t="s">
        <v>6964</v>
      </c>
    </row>
    <row r="22" spans="1:11" ht="18" x14ac:dyDescent="0.25">
      <c r="B22" s="40" t="s">
        <v>2598</v>
      </c>
      <c r="C22" s="47" t="s">
        <v>1671</v>
      </c>
      <c r="D22" s="41" t="s">
        <v>60</v>
      </c>
      <c r="E22" s="42" t="s">
        <v>2127</v>
      </c>
      <c r="H22" s="40" t="s">
        <v>2598</v>
      </c>
      <c r="I22" s="161" t="s">
        <v>6977</v>
      </c>
      <c r="J22" s="41" t="s">
        <v>4722</v>
      </c>
      <c r="K22" s="43" t="s">
        <v>6964</v>
      </c>
    </row>
    <row r="23" spans="1:11" ht="17.25" x14ac:dyDescent="0.25">
      <c r="B23" s="40" t="s">
        <v>2598</v>
      </c>
      <c r="C23" s="46" t="s">
        <v>1668</v>
      </c>
      <c r="D23" s="41" t="s">
        <v>2129</v>
      </c>
      <c r="E23" s="43" t="s">
        <v>2126</v>
      </c>
    </row>
    <row r="24" spans="1:11" ht="17.25" x14ac:dyDescent="0.25">
      <c r="B24" s="40" t="s">
        <v>2598</v>
      </c>
      <c r="C24" s="46" t="s">
        <v>6686</v>
      </c>
      <c r="D24" s="41" t="s">
        <v>2131</v>
      </c>
      <c r="E24" s="43" t="s">
        <v>2126</v>
      </c>
    </row>
    <row r="25" spans="1:11" ht="17.25" x14ac:dyDescent="0.25">
      <c r="B25" s="40" t="s">
        <v>2598</v>
      </c>
      <c r="C25" s="47" t="s">
        <v>1669</v>
      </c>
      <c r="D25" s="41" t="s">
        <v>2132</v>
      </c>
      <c r="E25" s="43" t="s">
        <v>2126</v>
      </c>
    </row>
    <row r="26" spans="1:11" ht="17.25" x14ac:dyDescent="0.25">
      <c r="B26" s="40" t="s">
        <v>2598</v>
      </c>
      <c r="C26" s="46" t="s">
        <v>2050</v>
      </c>
      <c r="D26" s="41" t="s">
        <v>2134</v>
      </c>
      <c r="E26" s="43" t="s">
        <v>2126</v>
      </c>
    </row>
    <row r="27" spans="1:11" ht="18" x14ac:dyDescent="0.25">
      <c r="B27" s="40" t="s">
        <v>2598</v>
      </c>
      <c r="C27" s="46" t="s">
        <v>6687</v>
      </c>
      <c r="D27" s="41" t="s">
        <v>2133</v>
      </c>
      <c r="E27" s="42" t="s">
        <v>2127</v>
      </c>
    </row>
    <row r="28" spans="1:11" ht="18" x14ac:dyDescent="0.25">
      <c r="B28" s="40" t="s">
        <v>2598</v>
      </c>
      <c r="C28" s="47" t="s">
        <v>6688</v>
      </c>
      <c r="D28" s="41" t="s">
        <v>53</v>
      </c>
      <c r="E28" s="42" t="s">
        <v>2127</v>
      </c>
    </row>
    <row r="29" spans="1:11" ht="18" x14ac:dyDescent="0.25">
      <c r="B29" s="40" t="s">
        <v>2598</v>
      </c>
      <c r="C29" s="46" t="s">
        <v>6972</v>
      </c>
      <c r="D29" s="41" t="s">
        <v>79</v>
      </c>
      <c r="E29" s="42" t="s">
        <v>2127</v>
      </c>
    </row>
  </sheetData>
  <mergeCells count="3">
    <mergeCell ref="B4:E4"/>
    <mergeCell ref="H4:K4"/>
    <mergeCell ref="B6:C6"/>
  </mergeCells>
  <dataValidations count="14">
    <dataValidation allowBlank="1" showInputMessage="1" showErrorMessage="1" promptTitle="Metadata" prompt="General information about the experiment." sqref="B7" xr:uid="{A2DA2170-E030-411C-8102-0B3A18B8B67C}"/>
    <dataValidation allowBlank="1" showInputMessage="1" showErrorMessage="1" promptTitle="Plots" prompt="General description of experimental design, plot sizes, layout, etc." sqref="B8" xr:uid="{D481291F-5725-4193-9248-EF74B22588CE}"/>
    <dataValidation allowBlank="1" showInputMessage="1" showErrorMessage="1" promptTitle="Fields" prompt="Any unique combination of soil and weather conditions." sqref="B9" xr:uid="{29739ACA-FB69-4CED-B386-839EC810E60C}"/>
    <dataValidation allowBlank="1" showInputMessage="1" showErrorMessage="1" promptTitle="Persons:" prompt="Names, affilitations and roles of key personnel." sqref="B10" xr:uid="{4FDB73D8-0D89-413A-82C0-62C80D7010D5}"/>
    <dataValidation allowBlank="1" showInputMessage="1" showErrorMessage="1" promptTitle="Institutions" prompt="Names, affilitations and roles of institutions." sqref="B11" xr:uid="{49C4314F-86FF-49ED-A83B-7294C9EB3F76}"/>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19" xr:uid="{69D7853D-07C0-4AF7-ABDD-97FA39B73EA1}"/>
    <dataValidation allowBlank="1" showInputMessage="1" showErrorMessage="1" promptTitle="Tillage" prompt="Dates and methods of tillage operations." sqref="B21" xr:uid="{72FC4003-ABE7-4245-8360-2FB9861DE8F7}"/>
    <dataValidation allowBlank="1" showInputMessage="1" showErrorMessage="1" promptTitle="Plantings" prompt="Planting dates, seed rates, row spacing and related information." sqref="B22" xr:uid="{413F6937-8533-4EAB-831C-129295E0BE57}"/>
    <dataValidation allowBlank="1" showInputMessage="1" showErrorMessage="1" promptTitle="Fertilizers" prompt="Dates of fertilizers applications, application methods, amounts of nitrogen, phosphorus, potassium and other elements applied, and related information." sqref="B25" xr:uid="{F53DF2F9-1801-497D-85BF-4B8557F72896}"/>
    <dataValidation allowBlank="1" showInputMessage="1" showErrorMessage="1" promptTitle="Harvests" prompt="Date of harvest, what material was removed, the portion of harvest removed from field, and harvest method. Also used to record the end of fallow periods and crop failures." sqref="B27" xr:uid="{6ABF9BFE-EF41-4B2D-962A-FDB5640CEFC9}"/>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28" xr:uid="{B141C29B-33E5-4782-8AEC-ACA4B0509D69}"/>
  </dataValidations>
  <hyperlinks>
    <hyperlink ref="C19" location="GENOTYPES!A1" display="Sorten" xr:uid="{F0CC3449-70F4-49A7-9162-2A8066CFF095}"/>
    <hyperlink ref="C22" location="PLANTINGS!A1" display="Anpflanzungen/Aussaat" xr:uid="{78D38F43-07A2-4F97-9A3A-6703007C84BA}"/>
    <hyperlink ref="C25" location="FERTILIZERS!A1" display="Mineraldünger" xr:uid="{4D195D28-7038-4725-BD12-3E3C53354EF0}"/>
    <hyperlink ref="C28" location="TREATMENTS!A1" display="Behandlungen" xr:uid="{38D17029-902A-4755-824A-D6C4147A7622}"/>
    <hyperlink ref="C7" location="EXP_METADATA!A1" display="Experiment-Metadaten" xr:uid="{DE57A3C5-0C16-4DAE-BA2A-04B749803B02}"/>
    <hyperlink ref="C8" location="PLOT_DETAILS!A1" display="Parzellen" xr:uid="{4AC623E6-C802-46E0-B7AB-D6EE381BB2C5}"/>
    <hyperlink ref="C9" location="FIELDS!A1" display="Felder" xr:uid="{E15EA66D-0714-4396-92EE-873ACA14C09F}"/>
    <hyperlink ref="C11" location="INSTITUTIONS!A1" display="Einrichtungen" xr:uid="{77D8BF79-CE7D-442E-A283-B174E067880D}"/>
    <hyperlink ref="K2" location="Glossary!A1" display="Zum Glossar" xr:uid="{C734B8A9-0C55-4607-8903-D028A9F828B0}"/>
    <hyperlink ref="C27" location="HARVESTS!A1" display="Ernten" xr:uid="{76F19F92-E28C-47BB-8C2B-B707F61A6952}"/>
    <hyperlink ref="C10" location="'PERSONS'!A1" display="Personen" xr:uid="{AA23C81E-3E93-49BF-A0ED-1814FD86740D}"/>
    <hyperlink ref="C20" location="'INITIAL_CONDITIONS'!A1" display="Ausgangsbedingungen" xr:uid="{6AC644E0-3F54-4E72-A1CF-95645451631D}"/>
    <hyperlink ref="C24" location="'ORGANIC_MATERIALS'!A1" display="Organische Stoffe" xr:uid="{2ABA97D4-066F-4EC6-8CF6-5965C715EEA8}"/>
    <hyperlink ref="C23" location="'IRRIGATIONS'!A1" display="Bewässerung" xr:uid="{DACF9631-C3A4-47FF-AA45-2CF8A91507E0}"/>
    <hyperlink ref="C26" location="'CHEMICALS'!A1" display="Pflanzenschutzmittel" xr:uid="{23829ED4-C31E-4C39-BDD9-F89F777135F4}"/>
    <hyperlink ref="C12" location="'DOCUMENTS'!A1" display="Dokumente" xr:uid="{A92CFC0F-5F53-48B1-8B7C-A0B6E88409BC}"/>
    <hyperlink ref="C29" location="OBS_DATA_LINKS!A1" display="Treatment-data links"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85725</xdr:colOff>
                <xdr:row>7</xdr:row>
                <xdr:rowOff>19050</xdr:rowOff>
              </from>
              <to>
                <xdr:col>4</xdr:col>
                <xdr:colOff>95250</xdr:colOff>
                <xdr:row>7</xdr:row>
                <xdr:rowOff>28575</xdr:rowOff>
              </to>
            </anchor>
          </controlPr>
        </control>
      </mc:Choice>
      <mc:Fallback>
        <control shapeId="1067" r:id="rId4" name="cbx_plotDetail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5" x14ac:dyDescent="0.25"/>
  <cols>
    <col min="1" max="1" width="15.7109375" bestFit="1" customWidth="1"/>
    <col min="2" max="2" width="70.7109375" bestFit="1" customWidth="1"/>
    <col min="3" max="3" width="20.7109375" bestFit="1" customWidth="1"/>
  </cols>
  <sheetData>
    <row r="1" spans="1:5" x14ac:dyDescent="0.25">
      <c r="A1" s="2"/>
      <c r="B1" s="1"/>
      <c r="C1" s="1"/>
      <c r="D1" s="1"/>
      <c r="E1" s="1"/>
    </row>
    <row r="2" spans="1:5" x14ac:dyDescent="0.25">
      <c r="A2" s="2"/>
      <c r="B2" s="1"/>
      <c r="C2" s="1"/>
      <c r="D2" s="1"/>
      <c r="E2" s="1"/>
    </row>
    <row r="3" spans="1:5" x14ac:dyDescent="0.25">
      <c r="A3" s="2"/>
      <c r="B3" s="1"/>
      <c r="C3" s="1"/>
      <c r="D3" s="1"/>
      <c r="E3" s="1"/>
    </row>
    <row r="4" spans="1:5" x14ac:dyDescent="0.25">
      <c r="A4" s="2" t="s">
        <v>0</v>
      </c>
      <c r="B4" s="1" t="s">
        <v>1</v>
      </c>
      <c r="C4" s="1"/>
      <c r="D4" s="1"/>
      <c r="E4" s="1"/>
    </row>
    <row r="5" spans="1:5" x14ac:dyDescent="0.25">
      <c r="A5" s="2" t="s">
        <v>2</v>
      </c>
      <c r="B5" s="1" t="s">
        <v>3</v>
      </c>
      <c r="C5" s="1"/>
      <c r="D5" s="1"/>
      <c r="E5" s="1"/>
    </row>
    <row r="6" spans="1:5" x14ac:dyDescent="0.25">
      <c r="A6" s="2" t="s">
        <v>4</v>
      </c>
      <c r="B6" s="1" t="s">
        <v>5</v>
      </c>
      <c r="C6" s="1"/>
      <c r="D6" s="1"/>
      <c r="E6" s="1"/>
    </row>
    <row r="7" spans="1:5" x14ac:dyDescent="0.25">
      <c r="A7" s="2" t="s">
        <v>6</v>
      </c>
      <c r="B7" s="1" t="s">
        <v>7</v>
      </c>
      <c r="C7" s="1"/>
      <c r="D7" s="1"/>
      <c r="E7" s="1"/>
    </row>
    <row r="8" spans="1:5" x14ac:dyDescent="0.25">
      <c r="A8" s="2" t="s">
        <v>6</v>
      </c>
      <c r="B8" s="1" t="s">
        <v>7</v>
      </c>
      <c r="C8" s="1"/>
      <c r="D8" s="1"/>
      <c r="E8" s="1"/>
    </row>
    <row r="9" spans="1:5" x14ac:dyDescent="0.25">
      <c r="A9" s="2" t="s">
        <v>6</v>
      </c>
      <c r="B9" s="1" t="s">
        <v>7</v>
      </c>
      <c r="C9" s="1"/>
      <c r="D9" s="1"/>
      <c r="E9" s="1"/>
    </row>
    <row r="10" spans="1:5" x14ac:dyDescent="0.25">
      <c r="A10" s="2" t="s">
        <v>6</v>
      </c>
      <c r="B10" s="1" t="s">
        <v>7</v>
      </c>
      <c r="C10" s="1"/>
      <c r="D10" s="1"/>
      <c r="E10" s="1"/>
    </row>
    <row r="11" spans="1:5" x14ac:dyDescent="0.25">
      <c r="A11" s="2" t="s">
        <v>8</v>
      </c>
      <c r="B11" s="1" t="s">
        <v>9</v>
      </c>
      <c r="C11" s="1"/>
      <c r="D11" s="1"/>
      <c r="E11" s="1"/>
    </row>
    <row r="12" spans="1:5" x14ac:dyDescent="0.25">
      <c r="A12" s="2" t="s">
        <v>6</v>
      </c>
      <c r="B12" s="1" t="s">
        <v>10</v>
      </c>
      <c r="C12" s="1"/>
      <c r="D12" s="1"/>
      <c r="E12" s="1"/>
    </row>
    <row r="13" spans="1:5" x14ac:dyDescent="0.25">
      <c r="A13" s="2" t="s">
        <v>6</v>
      </c>
      <c r="B13" s="1" t="s">
        <v>10</v>
      </c>
      <c r="C13" s="1"/>
      <c r="D13" s="1"/>
      <c r="E13" s="1"/>
    </row>
    <row r="14" spans="1:5" x14ac:dyDescent="0.25">
      <c r="A14" s="2" t="s">
        <v>6</v>
      </c>
      <c r="B14" s="1" t="s">
        <v>10</v>
      </c>
      <c r="C14" s="1"/>
      <c r="D14" s="1"/>
      <c r="E14" s="1"/>
    </row>
    <row r="15" spans="1:5" x14ac:dyDescent="0.25">
      <c r="A15" s="2" t="s">
        <v>6</v>
      </c>
      <c r="B15" s="1" t="s">
        <v>10</v>
      </c>
      <c r="C15" s="1"/>
      <c r="D15" s="1"/>
      <c r="E15" s="1"/>
    </row>
    <row r="16" spans="1:5" ht="90" x14ac:dyDescent="0.25">
      <c r="A16" s="2" t="s">
        <v>11</v>
      </c>
      <c r="B16" s="1" t="s">
        <v>12</v>
      </c>
      <c r="C16" s="1"/>
      <c r="D16" s="1"/>
      <c r="E16" s="1"/>
    </row>
    <row r="17" spans="1:5" ht="60" x14ac:dyDescent="0.25">
      <c r="A17" s="2" t="s">
        <v>6</v>
      </c>
      <c r="B17" s="1" t="s">
        <v>13</v>
      </c>
      <c r="C17" s="1"/>
      <c r="D17" s="1"/>
      <c r="E17" s="1"/>
    </row>
    <row r="18" spans="1:5" ht="30" x14ac:dyDescent="0.25">
      <c r="A18" s="2" t="s">
        <v>14</v>
      </c>
      <c r="B18" s="1" t="s">
        <v>15</v>
      </c>
      <c r="C18" s="1"/>
      <c r="D18" s="1"/>
      <c r="E18" s="1"/>
    </row>
    <row r="19" spans="1:5" x14ac:dyDescent="0.25">
      <c r="A19" s="2" t="s">
        <v>6</v>
      </c>
      <c r="B19" s="1" t="s">
        <v>16</v>
      </c>
      <c r="C19" s="1"/>
      <c r="D19" s="1"/>
      <c r="E19" s="1"/>
    </row>
    <row r="20" spans="1:5" ht="90" x14ac:dyDescent="0.25">
      <c r="A20" s="2" t="s">
        <v>6</v>
      </c>
      <c r="B20" s="1" t="s">
        <v>17</v>
      </c>
      <c r="C20" s="1"/>
      <c r="D20" s="1"/>
      <c r="E20" s="1"/>
    </row>
    <row r="21" spans="1:5" x14ac:dyDescent="0.25">
      <c r="A21" s="2" t="s">
        <v>6</v>
      </c>
      <c r="B21" s="1" t="s">
        <v>18</v>
      </c>
      <c r="C21" s="1"/>
      <c r="D21" s="1"/>
      <c r="E21" s="1"/>
    </row>
    <row r="22" spans="1:5" ht="30" x14ac:dyDescent="0.25">
      <c r="A22" s="2" t="s">
        <v>6</v>
      </c>
      <c r="B22" s="1" t="s">
        <v>19</v>
      </c>
      <c r="C22" s="1"/>
      <c r="D22" s="1"/>
      <c r="E22" s="1"/>
    </row>
    <row r="23" spans="1:5" ht="45" x14ac:dyDescent="0.25">
      <c r="A23" s="2" t="s">
        <v>6</v>
      </c>
      <c r="B23" s="1" t="s">
        <v>20</v>
      </c>
      <c r="C23" s="1"/>
      <c r="D23" s="1"/>
      <c r="E23" s="1"/>
    </row>
    <row r="24" spans="1:5" x14ac:dyDescent="0.25">
      <c r="A24" s="2" t="s">
        <v>6</v>
      </c>
      <c r="B24" s="1" t="s">
        <v>21</v>
      </c>
      <c r="C24" s="1"/>
      <c r="D24" s="1"/>
      <c r="E24" s="1"/>
    </row>
    <row r="25" spans="1:5" ht="45" x14ac:dyDescent="0.25">
      <c r="A25" s="2" t="s">
        <v>6</v>
      </c>
      <c r="B25" s="1" t="s">
        <v>22</v>
      </c>
      <c r="C25" s="1"/>
      <c r="D25" s="1"/>
      <c r="E25" s="1"/>
    </row>
    <row r="26" spans="1:5" ht="30" x14ac:dyDescent="0.25">
      <c r="A26" s="2" t="s">
        <v>6</v>
      </c>
      <c r="B26" s="1" t="s">
        <v>23</v>
      </c>
      <c r="C26" s="1"/>
      <c r="D26" s="1"/>
      <c r="E26" s="1"/>
    </row>
    <row r="27" spans="1:5" ht="45" x14ac:dyDescent="0.25">
      <c r="A27" s="2" t="s">
        <v>6</v>
      </c>
      <c r="B27" s="1" t="s">
        <v>24</v>
      </c>
      <c r="C27" s="1"/>
      <c r="D27" s="1"/>
      <c r="E27" s="1"/>
    </row>
    <row r="28" spans="1:5" ht="30" x14ac:dyDescent="0.25">
      <c r="A28" s="2" t="s">
        <v>6</v>
      </c>
      <c r="B28" s="1" t="s">
        <v>25</v>
      </c>
      <c r="C28" s="1"/>
      <c r="D28" s="1"/>
      <c r="E28" s="1"/>
    </row>
    <row r="29" spans="1:5" ht="30" x14ac:dyDescent="0.25">
      <c r="A29" s="2" t="s">
        <v>6</v>
      </c>
      <c r="B29" s="1" t="s">
        <v>26</v>
      </c>
      <c r="C29" s="1"/>
      <c r="D29" s="1"/>
      <c r="E29" s="1"/>
    </row>
    <row r="30" spans="1:5" ht="45" x14ac:dyDescent="0.25">
      <c r="A30" s="2" t="s">
        <v>6</v>
      </c>
      <c r="B30" s="1" t="s">
        <v>27</v>
      </c>
      <c r="C30" s="1"/>
      <c r="D30" s="1"/>
      <c r="E30" s="1"/>
    </row>
    <row r="31" spans="1:5" ht="30" x14ac:dyDescent="0.25">
      <c r="A31" s="2" t="s">
        <v>6</v>
      </c>
      <c r="B31" s="1" t="s">
        <v>28</v>
      </c>
      <c r="C31" s="1"/>
      <c r="D31" s="1"/>
      <c r="E31" s="1"/>
    </row>
    <row r="32" spans="1:5" ht="30" x14ac:dyDescent="0.25">
      <c r="A32" s="2" t="s">
        <v>6</v>
      </c>
      <c r="B32" s="1" t="s">
        <v>29</v>
      </c>
      <c r="C32" s="1"/>
      <c r="D32" s="1"/>
      <c r="E32" s="1"/>
    </row>
    <row r="33" spans="1:5" x14ac:dyDescent="0.25">
      <c r="A33" s="2" t="s">
        <v>6</v>
      </c>
      <c r="B33" s="1" t="s">
        <v>30</v>
      </c>
      <c r="C33" s="1"/>
      <c r="D33" s="1"/>
      <c r="E33" s="1"/>
    </row>
    <row r="34" spans="1:5" x14ac:dyDescent="0.25">
      <c r="A34" s="2" t="s">
        <v>6</v>
      </c>
      <c r="B34" s="1" t="s">
        <v>31</v>
      </c>
      <c r="C34" s="1"/>
      <c r="D34" s="1"/>
      <c r="E34" s="1"/>
    </row>
    <row r="35" spans="1:5" x14ac:dyDescent="0.25">
      <c r="A35" s="2" t="s">
        <v>6</v>
      </c>
      <c r="B35" s="1" t="s">
        <v>32</v>
      </c>
      <c r="C35" s="1"/>
      <c r="D35" s="1"/>
      <c r="E35" s="1"/>
    </row>
    <row r="36" spans="1:5" ht="30" x14ac:dyDescent="0.25">
      <c r="A36" s="2" t="s">
        <v>6</v>
      </c>
      <c r="B36" s="1" t="s">
        <v>33</v>
      </c>
      <c r="C36" s="1"/>
      <c r="D36" s="1"/>
      <c r="E36" s="1"/>
    </row>
    <row r="37" spans="1:5" ht="45" x14ac:dyDescent="0.25">
      <c r="A37" s="2" t="s">
        <v>34</v>
      </c>
      <c r="B37" s="1" t="s">
        <v>35</v>
      </c>
      <c r="C37" s="1"/>
      <c r="D37" s="1"/>
      <c r="E37" s="1"/>
    </row>
    <row r="38" spans="1:5" ht="75" x14ac:dyDescent="0.25">
      <c r="A38" s="2" t="s">
        <v>6</v>
      </c>
      <c r="B38" s="1" t="s">
        <v>36</v>
      </c>
      <c r="C38" s="1"/>
      <c r="D38" s="1"/>
      <c r="E38" s="1"/>
    </row>
    <row r="39" spans="1:5" x14ac:dyDescent="0.25">
      <c r="A39" s="2" t="s">
        <v>6</v>
      </c>
      <c r="B39" s="1" t="s">
        <v>6</v>
      </c>
      <c r="C39" s="1"/>
      <c r="D39" s="1"/>
      <c r="E39" s="1"/>
    </row>
    <row r="40" spans="1:5" x14ac:dyDescent="0.25">
      <c r="A40" s="2" t="s">
        <v>6</v>
      </c>
      <c r="B40" s="1" t="s">
        <v>6</v>
      </c>
      <c r="C40" s="1"/>
      <c r="D40" s="1"/>
      <c r="E40" s="1"/>
    </row>
    <row r="41" spans="1:5" x14ac:dyDescent="0.25">
      <c r="A41" t="s">
        <v>6</v>
      </c>
      <c r="B41" t="s">
        <v>6</v>
      </c>
    </row>
    <row r="42" spans="1:5" x14ac:dyDescent="0.25">
      <c r="A42" t="s">
        <v>6</v>
      </c>
      <c r="B42" t="s">
        <v>6</v>
      </c>
    </row>
    <row r="43" spans="1:5" x14ac:dyDescent="0.25">
      <c r="A43" t="s">
        <v>6</v>
      </c>
      <c r="B43" t="s">
        <v>6</v>
      </c>
    </row>
    <row r="44" spans="1:5" x14ac:dyDescent="0.25">
      <c r="A44" t="s">
        <v>6</v>
      </c>
      <c r="B44" t="s">
        <v>6</v>
      </c>
    </row>
    <row r="45" spans="1:5" x14ac:dyDescent="0.25">
      <c r="A45" t="s">
        <v>6</v>
      </c>
      <c r="B45" t="s">
        <v>6</v>
      </c>
    </row>
    <row r="46" spans="1:5" x14ac:dyDescent="0.25">
      <c r="A46" t="s">
        <v>6</v>
      </c>
      <c r="B46" t="s">
        <v>6</v>
      </c>
    </row>
    <row r="47" spans="1:5" x14ac:dyDescent="0.25">
      <c r="A47" t="s">
        <v>6</v>
      </c>
      <c r="B47" t="s">
        <v>6</v>
      </c>
    </row>
  </sheetData>
  <printOptions gridLines="1"/>
  <pageMargins left="0.7" right="0.7" top="0.75" bottom="0.75" header="0.3" footer="0.3"/>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5" x14ac:dyDescent="0.25"/>
  <cols>
    <col min="1" max="1" width="30.7109375" bestFit="1" customWidth="1"/>
    <col min="2" max="3" width="18.7109375" bestFit="1" customWidth="1"/>
    <col min="4" max="5" width="30.7109375" bestFit="1" customWidth="1"/>
    <col min="6" max="6" width="7.7109375" bestFit="1" customWidth="1"/>
  </cols>
  <sheetData>
    <row r="1" spans="1:7" x14ac:dyDescent="0.25">
      <c r="A1" s="1"/>
      <c r="B1" s="1"/>
      <c r="C1" s="1"/>
      <c r="D1" s="1"/>
      <c r="E1" s="1"/>
      <c r="F1" s="1"/>
    </row>
    <row r="2" spans="1:7" x14ac:dyDescent="0.25">
      <c r="A2" s="1"/>
      <c r="B2" s="1"/>
      <c r="C2" s="1"/>
      <c r="D2" s="1"/>
      <c r="E2" s="1"/>
      <c r="F2" s="1"/>
    </row>
    <row r="3" spans="1:7" x14ac:dyDescent="0.25">
      <c r="A3" s="1"/>
      <c r="B3" s="1"/>
      <c r="C3" s="1"/>
      <c r="D3" s="1"/>
      <c r="E3" s="1"/>
      <c r="F3" s="1"/>
    </row>
    <row r="4" spans="1:7" x14ac:dyDescent="0.25">
      <c r="A4" s="2" t="s">
        <v>37</v>
      </c>
      <c r="B4" s="2" t="s">
        <v>38</v>
      </c>
      <c r="C4" s="2" t="s">
        <v>39</v>
      </c>
      <c r="D4" s="2" t="s">
        <v>40</v>
      </c>
      <c r="E4" s="2" t="s">
        <v>41</v>
      </c>
      <c r="F4" s="2" t="s">
        <v>42</v>
      </c>
    </row>
    <row r="5" spans="1:7" x14ac:dyDescent="0.25">
      <c r="A5" s="1" t="s">
        <v>43</v>
      </c>
      <c r="B5" s="1" t="s">
        <v>44</v>
      </c>
      <c r="C5" s="1" t="s">
        <v>45</v>
      </c>
      <c r="D5" s="1" t="s">
        <v>46</v>
      </c>
      <c r="E5" s="1" t="s">
        <v>47</v>
      </c>
      <c r="F5" s="1" t="s">
        <v>48</v>
      </c>
      <c r="G5" s="3" t="str">
        <f>HYPERLINK("#'EXP_METADATA'!A1", "Link to EXP_METADATA")</f>
        <v>Link to EXP_METADATA</v>
      </c>
    </row>
    <row r="6" spans="1:7" x14ac:dyDescent="0.25">
      <c r="A6" s="1" t="s">
        <v>49</v>
      </c>
      <c r="B6" s="1" t="s">
        <v>44</v>
      </c>
      <c r="C6" s="1" t="s">
        <v>45</v>
      </c>
      <c r="D6" s="1" t="s">
        <v>49</v>
      </c>
      <c r="E6" s="1" t="s">
        <v>47</v>
      </c>
      <c r="F6" s="1" t="s">
        <v>50</v>
      </c>
      <c r="G6" s="3" t="str">
        <f>HYPERLINK("#'PERSONS'!A1", "Link to PERSONS")</f>
        <v>Link to PERSONS</v>
      </c>
    </row>
    <row r="7" spans="1:7" x14ac:dyDescent="0.25">
      <c r="A7" s="1" t="s">
        <v>51</v>
      </c>
      <c r="B7" s="1" t="s">
        <v>44</v>
      </c>
      <c r="C7" s="1" t="s">
        <v>45</v>
      </c>
      <c r="D7" s="1" t="s">
        <v>51</v>
      </c>
      <c r="E7" s="1" t="s">
        <v>47</v>
      </c>
      <c r="F7" s="1" t="s">
        <v>50</v>
      </c>
      <c r="G7" s="3" t="str">
        <f>HYPERLINK("#'INSTITUTIONS'!A1", "Link to INSTITUTIONS")</f>
        <v>Link to INSTITUTIONS</v>
      </c>
    </row>
    <row r="8" spans="1:7" x14ac:dyDescent="0.25">
      <c r="A8" s="1" t="s">
        <v>52</v>
      </c>
      <c r="B8" s="1" t="s">
        <v>44</v>
      </c>
      <c r="C8" s="1" t="s">
        <v>45</v>
      </c>
      <c r="D8" s="1" t="s">
        <v>52</v>
      </c>
      <c r="E8" s="1" t="s">
        <v>47</v>
      </c>
      <c r="F8" s="1" t="s">
        <v>50</v>
      </c>
      <c r="G8" s="3" t="str">
        <f>HYPERLINK("#'DOCUMENTS'!A1", "Link to DOCUMENTS")</f>
        <v>Link to DOCUMENTS</v>
      </c>
    </row>
    <row r="9" spans="1:7" x14ac:dyDescent="0.25">
      <c r="A9" s="1" t="s">
        <v>53</v>
      </c>
      <c r="B9" s="1" t="s">
        <v>44</v>
      </c>
      <c r="C9" s="1" t="s">
        <v>54</v>
      </c>
      <c r="D9" s="1" t="s">
        <v>53</v>
      </c>
      <c r="E9" s="1" t="s">
        <v>47</v>
      </c>
      <c r="F9" s="1" t="s">
        <v>48</v>
      </c>
      <c r="G9" s="3" t="str">
        <f>HYPERLINK("#'TREATMENTS'!A1", "Link to TREATMENTS")</f>
        <v>Link to TREATMENTS</v>
      </c>
    </row>
    <row r="10" spans="1:7" x14ac:dyDescent="0.25">
      <c r="A10" s="1" t="s">
        <v>55</v>
      </c>
      <c r="B10" s="1" t="s">
        <v>44</v>
      </c>
      <c r="C10" s="1" t="s">
        <v>54</v>
      </c>
      <c r="D10" s="1" t="s">
        <v>55</v>
      </c>
      <c r="E10" s="1" t="s">
        <v>47</v>
      </c>
      <c r="F10" s="1" t="s">
        <v>48</v>
      </c>
      <c r="G10" s="3" t="str">
        <f>HYPERLINK("#'GENOTYPES'!A1", "Link to GENOTYPES")</f>
        <v>Link to GENOTYPES</v>
      </c>
    </row>
    <row r="11" spans="1:7" x14ac:dyDescent="0.25">
      <c r="A11" s="1" t="s">
        <v>56</v>
      </c>
      <c r="B11" s="1" t="s">
        <v>44</v>
      </c>
      <c r="C11" s="1" t="s">
        <v>54</v>
      </c>
      <c r="D11" s="1" t="s">
        <v>56</v>
      </c>
      <c r="E11" s="1" t="s">
        <v>47</v>
      </c>
      <c r="F11" s="1" t="s">
        <v>48</v>
      </c>
      <c r="G11" s="3" t="str">
        <f>HYPERLINK("#'FIELDS'!A1", "Link to FIELDS")</f>
        <v>Link to FIELDS</v>
      </c>
    </row>
    <row r="12" spans="1:7" x14ac:dyDescent="0.25">
      <c r="A12" s="1" t="s">
        <v>57</v>
      </c>
      <c r="B12" s="1" t="s">
        <v>44</v>
      </c>
      <c r="C12" s="1" t="s">
        <v>54</v>
      </c>
      <c r="D12" s="1" t="s">
        <v>57</v>
      </c>
      <c r="E12" s="1" t="s">
        <v>47</v>
      </c>
      <c r="F12" s="1" t="s">
        <v>50</v>
      </c>
      <c r="G12" s="3" t="str">
        <f>HYPERLINK("#'INITIAL_CONDITIONS'!A1", "Link to INITIAL_CONDITIONS")</f>
        <v>Link to INITIAL_CONDITIONS</v>
      </c>
    </row>
    <row r="13" spans="1:7" x14ac:dyDescent="0.25">
      <c r="A13" s="1" t="s">
        <v>58</v>
      </c>
      <c r="B13" s="1" t="s">
        <v>44</v>
      </c>
      <c r="C13" s="1" t="s">
        <v>54</v>
      </c>
      <c r="D13" s="1" t="s">
        <v>57</v>
      </c>
      <c r="E13" s="1" t="s">
        <v>59</v>
      </c>
      <c r="F13" s="1" t="s">
        <v>50</v>
      </c>
      <c r="G13" s="3" t="str">
        <f>HYPERLINK("#'INITIAL_COND_LAYERS'!A1", "Link to INITIAL_COND_LAYERS")</f>
        <v>Link to INITIAL_COND_LAYERS</v>
      </c>
    </row>
    <row r="14" spans="1:7" x14ac:dyDescent="0.25">
      <c r="A14" s="1" t="s">
        <v>60</v>
      </c>
      <c r="B14" s="1" t="s">
        <v>44</v>
      </c>
      <c r="C14" s="1" t="s">
        <v>54</v>
      </c>
      <c r="D14" s="1" t="s">
        <v>60</v>
      </c>
      <c r="E14" s="1" t="s">
        <v>47</v>
      </c>
      <c r="F14" s="1" t="s">
        <v>48</v>
      </c>
      <c r="G14" s="3" t="str">
        <f>HYPERLINK("#'PLANTINGS'!A1", "Link to PLANTINGS")</f>
        <v>Link to PLANTINGS</v>
      </c>
    </row>
    <row r="15" spans="1:7" x14ac:dyDescent="0.25">
      <c r="A15" s="1" t="s">
        <v>61</v>
      </c>
      <c r="B15" s="1" t="s">
        <v>44</v>
      </c>
      <c r="C15" s="1" t="s">
        <v>54</v>
      </c>
      <c r="D15" s="1" t="s">
        <v>61</v>
      </c>
      <c r="E15" s="1" t="s">
        <v>47</v>
      </c>
      <c r="F15" s="1" t="s">
        <v>50</v>
      </c>
      <c r="G15" s="3" t="str">
        <f>HYPERLINK("#'IRRIGATIONS'!A1", "Link to IRRIGATIONS")</f>
        <v>Link to IRRIGATIONS</v>
      </c>
    </row>
    <row r="16" spans="1:7" x14ac:dyDescent="0.25">
      <c r="A16" s="1" t="s">
        <v>62</v>
      </c>
      <c r="B16" s="1" t="s">
        <v>44</v>
      </c>
      <c r="C16" s="1" t="s">
        <v>54</v>
      </c>
      <c r="D16" s="1" t="s">
        <v>61</v>
      </c>
      <c r="E16" s="1" t="s">
        <v>62</v>
      </c>
      <c r="F16" s="1" t="s">
        <v>50</v>
      </c>
      <c r="G16" s="3" t="str">
        <f>HYPERLINK("#'IRRIGATION_APPLICATIONS'!A1", "Link to IRRIGATION_APPLICATIONS")</f>
        <v>Link to IRRIGATION_APPLICATIONS</v>
      </c>
    </row>
    <row r="17" spans="1:7" x14ac:dyDescent="0.25">
      <c r="A17" s="1" t="s">
        <v>63</v>
      </c>
      <c r="B17" s="1" t="s">
        <v>44</v>
      </c>
      <c r="C17" s="1" t="s">
        <v>54</v>
      </c>
      <c r="D17" s="1" t="s">
        <v>63</v>
      </c>
      <c r="E17" s="1" t="s">
        <v>47</v>
      </c>
      <c r="F17" s="1" t="s">
        <v>50</v>
      </c>
      <c r="G17" s="3" t="str">
        <f>HYPERLINK("#'FERTILIZERS'!A1", "Link to FERTILIZERS")</f>
        <v>Link to FERTILIZERS</v>
      </c>
    </row>
    <row r="18" spans="1:7" x14ac:dyDescent="0.25">
      <c r="A18" s="1" t="s">
        <v>64</v>
      </c>
      <c r="B18" s="1" t="s">
        <v>44</v>
      </c>
      <c r="C18" s="1" t="s">
        <v>54</v>
      </c>
      <c r="D18" s="1" t="s">
        <v>63</v>
      </c>
      <c r="E18" s="1" t="s">
        <v>64</v>
      </c>
      <c r="F18" s="1" t="s">
        <v>50</v>
      </c>
      <c r="G18" s="3" t="str">
        <f>HYPERLINK("#'FERTILIZER_APPLICS'!A1", "Link to FERTILIZER_APPLICS")</f>
        <v>Link to FERTILIZER_APPLICS</v>
      </c>
    </row>
    <row r="19" spans="1:7" x14ac:dyDescent="0.25">
      <c r="A19" s="1" t="s">
        <v>65</v>
      </c>
      <c r="B19" s="1" t="s">
        <v>44</v>
      </c>
      <c r="C19" s="1" t="s">
        <v>54</v>
      </c>
      <c r="D19" s="1" t="s">
        <v>65</v>
      </c>
      <c r="E19" s="1" t="s">
        <v>47</v>
      </c>
      <c r="F19" s="1" t="s">
        <v>50</v>
      </c>
      <c r="G19" s="3" t="str">
        <f>HYPERLINK("#'HARVESTS'!A1", "Link to HARVESTS")</f>
        <v>Link to HARVESTS</v>
      </c>
    </row>
    <row r="20" spans="1:7" x14ac:dyDescent="0.25">
      <c r="A20" s="1" t="s">
        <v>66</v>
      </c>
      <c r="B20" s="1" t="s">
        <v>44</v>
      </c>
      <c r="C20" s="1" t="s">
        <v>54</v>
      </c>
      <c r="D20" s="1" t="s">
        <v>65</v>
      </c>
      <c r="E20" s="1" t="s">
        <v>66</v>
      </c>
      <c r="F20" s="1" t="s">
        <v>50</v>
      </c>
      <c r="G20" s="3" t="str">
        <f>HYPERLINK("#'HARVEST_EVENTS'!A1", "Link to HARVEST_EVENTS")</f>
        <v>Link to HARVEST_EVENTS</v>
      </c>
    </row>
    <row r="21" spans="1:7" x14ac:dyDescent="0.25">
      <c r="A21" s="1" t="s">
        <v>67</v>
      </c>
      <c r="B21" s="1" t="s">
        <v>68</v>
      </c>
      <c r="C21" s="1" t="s">
        <v>69</v>
      </c>
      <c r="D21" s="1" t="s">
        <v>70</v>
      </c>
      <c r="E21" s="1" t="s">
        <v>47</v>
      </c>
      <c r="F21" s="1" t="s">
        <v>50</v>
      </c>
      <c r="G21" s="3" t="str">
        <f>HYPERLINK("#'SOIL_METADATA'!A1", "Link to SOIL_METADATA")</f>
        <v>Link to SOIL_METADATA</v>
      </c>
    </row>
    <row r="22" spans="1:7" x14ac:dyDescent="0.25">
      <c r="A22" s="1" t="s">
        <v>69</v>
      </c>
      <c r="B22" s="1" t="s">
        <v>68</v>
      </c>
      <c r="C22" s="1" t="s">
        <v>69</v>
      </c>
      <c r="D22" s="1" t="s">
        <v>71</v>
      </c>
      <c r="E22" s="1" t="s">
        <v>47</v>
      </c>
      <c r="F22" s="1" t="s">
        <v>50</v>
      </c>
      <c r="G22" s="3" t="str">
        <f>HYPERLINK("#'SOIL_PROFILES'!A1", "Link to SOIL_PROFILES")</f>
        <v>Link to SOIL_PROFILES</v>
      </c>
    </row>
    <row r="23" spans="1:7" x14ac:dyDescent="0.25">
      <c r="A23" s="1" t="s">
        <v>72</v>
      </c>
      <c r="B23" s="1" t="s">
        <v>68</v>
      </c>
      <c r="C23" s="1" t="s">
        <v>69</v>
      </c>
      <c r="D23" s="1" t="s">
        <v>71</v>
      </c>
      <c r="E23" s="1" t="s">
        <v>72</v>
      </c>
      <c r="F23" s="1" t="s">
        <v>50</v>
      </c>
      <c r="G23" s="3" t="str">
        <f>HYPERLINK("#'SOIL_PROFILE_LAYERS'!A1", "Link to SOIL_PROFILE_LAYERS")</f>
        <v>Link to SOIL_PROFILE_LAYERS</v>
      </c>
    </row>
    <row r="24" spans="1:7" x14ac:dyDescent="0.25">
      <c r="A24" s="1" t="s">
        <v>73</v>
      </c>
      <c r="B24" s="1" t="s">
        <v>74</v>
      </c>
      <c r="C24" s="1" t="s">
        <v>75</v>
      </c>
      <c r="D24" s="1" t="s">
        <v>76</v>
      </c>
      <c r="E24" s="1" t="s">
        <v>47</v>
      </c>
      <c r="F24" s="1" t="s">
        <v>48</v>
      </c>
      <c r="G24" s="3" t="str">
        <f>HYPERLINK("#'WEAT_METADATA'!A1", "Link to WEAT_METADATA")</f>
        <v>Link to WEAT_METADATA</v>
      </c>
    </row>
    <row r="25" spans="1:7" x14ac:dyDescent="0.25">
      <c r="A25" s="1" t="s">
        <v>77</v>
      </c>
      <c r="B25" s="1" t="s">
        <v>74</v>
      </c>
      <c r="C25" s="1" t="s">
        <v>75</v>
      </c>
      <c r="D25" s="1" t="s">
        <v>78</v>
      </c>
      <c r="E25" s="1" t="s">
        <v>47</v>
      </c>
      <c r="F25" s="1" t="s">
        <v>48</v>
      </c>
      <c r="G25" s="3" t="str">
        <f>HYPERLINK("#'WEAT_DAILY'!A1", "Link to WEAT_DAILY")</f>
        <v>Link to WEAT_DAILY</v>
      </c>
    </row>
    <row r="26" spans="1:7" x14ac:dyDescent="0.25">
      <c r="A26" s="1" t="s">
        <v>79</v>
      </c>
      <c r="B26" s="1" t="s">
        <v>44</v>
      </c>
      <c r="C26" s="1" t="s">
        <v>80</v>
      </c>
      <c r="D26" s="1" t="s">
        <v>81</v>
      </c>
      <c r="E26" s="1" t="s">
        <v>47</v>
      </c>
      <c r="F26" s="1" t="s">
        <v>48</v>
      </c>
      <c r="G26" s="3" t="str">
        <f>HYPERLINK("#'OBS_DATA_LINKS'!A1", "Link to OBS_DATA_LINKS")</f>
        <v>Link to OBS_DATA_LINKS</v>
      </c>
    </row>
    <row r="27" spans="1:7" x14ac:dyDescent="0.25">
      <c r="A27" s="1" t="s">
        <v>82</v>
      </c>
      <c r="B27" s="1" t="s">
        <v>44</v>
      </c>
      <c r="C27" s="1" t="s">
        <v>80</v>
      </c>
      <c r="D27" s="1" t="s">
        <v>83</v>
      </c>
      <c r="E27" s="1" t="s">
        <v>84</v>
      </c>
      <c r="F27" s="1" t="s">
        <v>50</v>
      </c>
      <c r="G27" s="3" t="str">
        <f>HYPERLINK("#'SUMMARY_DEV'!A1", "Link to SUMMARY_DEV")</f>
        <v>Link to SUMMARY_DEV</v>
      </c>
    </row>
    <row r="28" spans="1:7" x14ac:dyDescent="0.25">
      <c r="A28" s="1" t="s">
        <v>85</v>
      </c>
      <c r="B28" s="1" t="s">
        <v>44</v>
      </c>
      <c r="C28" s="1" t="s">
        <v>80</v>
      </c>
      <c r="D28" s="1" t="s">
        <v>83</v>
      </c>
      <c r="E28" s="1" t="s">
        <v>86</v>
      </c>
      <c r="F28" s="1" t="s">
        <v>50</v>
      </c>
      <c r="G28" s="3" t="str">
        <f>HYPERLINK("#'SUMMARY_GROWTH'!A1", "Link to SUMMARY_GROWTH")</f>
        <v>Link to SUMMARY_GROWTH</v>
      </c>
    </row>
    <row r="29" spans="1:7" x14ac:dyDescent="0.25">
      <c r="A29" s="1" t="s">
        <v>87</v>
      </c>
      <c r="B29" s="1" t="s">
        <v>44</v>
      </c>
      <c r="C29" s="1" t="s">
        <v>80</v>
      </c>
      <c r="D29" s="1" t="s">
        <v>88</v>
      </c>
      <c r="E29" s="1" t="s">
        <v>89</v>
      </c>
      <c r="F29" s="1" t="s">
        <v>50</v>
      </c>
      <c r="G29" s="3" t="str">
        <f>HYPERLINK("#'TIME_SER_GROWTH'!A1", "Link to TIME_SER_GROWTH")</f>
        <v>Link to TIME_SER_GROWTH</v>
      </c>
    </row>
    <row r="30" spans="1:7" x14ac:dyDescent="0.25">
      <c r="A30" s="1" t="s">
        <v>90</v>
      </c>
      <c r="B30" s="1" t="s">
        <v>6</v>
      </c>
      <c r="C30" s="1" t="s">
        <v>6</v>
      </c>
      <c r="D30" s="1" t="s">
        <v>6</v>
      </c>
      <c r="E30" s="1" t="s">
        <v>6</v>
      </c>
      <c r="F30" s="1" t="s">
        <v>48</v>
      </c>
      <c r="G30" s="3" t="str">
        <f>HYPERLINK("#'Glossary'!A1", "Link to Glossary")</f>
        <v>Link to Glossary</v>
      </c>
    </row>
    <row r="31" spans="1:7" x14ac:dyDescent="0.25">
      <c r="A31" s="1"/>
      <c r="B31" s="1"/>
      <c r="C31" s="1"/>
      <c r="D31" s="1"/>
      <c r="E31" s="1"/>
      <c r="F31" s="1"/>
    </row>
    <row r="32" spans="1:7" x14ac:dyDescent="0.25">
      <c r="A32" s="1"/>
      <c r="B32" s="1"/>
      <c r="C32" s="1"/>
      <c r="D32" s="1"/>
      <c r="E32" s="1"/>
      <c r="F32" s="1"/>
    </row>
    <row r="33" spans="1:6" x14ac:dyDescent="0.25">
      <c r="A33" s="1"/>
      <c r="B33" s="1"/>
      <c r="C33" s="1"/>
      <c r="D33" s="1"/>
      <c r="E33" s="1"/>
      <c r="F33" s="1"/>
    </row>
    <row r="34" spans="1:6" x14ac:dyDescent="0.25">
      <c r="A34" s="1"/>
      <c r="B34" s="1"/>
      <c r="C34" s="1"/>
      <c r="D34" s="1"/>
      <c r="E34" s="1"/>
      <c r="F34" s="1"/>
    </row>
    <row r="35" spans="1:6" x14ac:dyDescent="0.25">
      <c r="A35" s="1"/>
      <c r="B35" s="1"/>
      <c r="C35" s="1"/>
      <c r="D35" s="1"/>
      <c r="E35" s="1"/>
      <c r="F35" s="1"/>
    </row>
    <row r="36" spans="1:6" x14ac:dyDescent="0.25">
      <c r="A36" s="1"/>
      <c r="B36" s="1"/>
      <c r="C36" s="1"/>
      <c r="D36" s="1"/>
      <c r="E36" s="1"/>
      <c r="F36" s="1"/>
    </row>
    <row r="37" spans="1:6" x14ac:dyDescent="0.25">
      <c r="A37" s="1"/>
      <c r="B37" s="1"/>
      <c r="C37" s="1"/>
      <c r="D37" s="1"/>
      <c r="E37" s="1"/>
      <c r="F37" s="1"/>
    </row>
    <row r="38" spans="1:6" x14ac:dyDescent="0.25">
      <c r="A38" s="1"/>
      <c r="B38" s="1"/>
      <c r="C38" s="1"/>
      <c r="D38" s="1"/>
      <c r="E38" s="1"/>
      <c r="F38" s="1"/>
    </row>
    <row r="39" spans="1:6" x14ac:dyDescent="0.25">
      <c r="A39" s="1"/>
      <c r="B39" s="1"/>
      <c r="C39" s="1"/>
      <c r="D39" s="1"/>
      <c r="E39" s="1"/>
      <c r="F39" s="1"/>
    </row>
    <row r="40" spans="1:6" x14ac:dyDescent="0.25">
      <c r="A40" s="1"/>
      <c r="B40" s="1"/>
      <c r="C40" s="1"/>
      <c r="D40" s="1"/>
      <c r="E40" s="1"/>
      <c r="F40" s="1"/>
    </row>
    <row r="41" spans="1:6" x14ac:dyDescent="0.25">
      <c r="A41" s="1"/>
      <c r="B41" s="1"/>
      <c r="C41" s="1"/>
      <c r="D41" s="1"/>
      <c r="E41" s="1"/>
      <c r="F41" s="1"/>
    </row>
    <row r="42" spans="1:6" x14ac:dyDescent="0.25">
      <c r="A42" s="1"/>
      <c r="B42" s="1"/>
      <c r="C42" s="1"/>
      <c r="D42" s="1"/>
      <c r="E42" s="1"/>
      <c r="F42" s="1"/>
    </row>
    <row r="43" spans="1:6" x14ac:dyDescent="0.25">
      <c r="A43" s="1"/>
      <c r="B43" s="1"/>
      <c r="C43" s="1"/>
      <c r="D43" s="1"/>
      <c r="E43" s="1"/>
      <c r="F43" s="1"/>
    </row>
    <row r="44" spans="1:6" x14ac:dyDescent="0.25">
      <c r="A44" s="1"/>
      <c r="B44" s="1"/>
      <c r="C44" s="1"/>
      <c r="D44" s="1"/>
      <c r="E44" s="1"/>
      <c r="F44" s="1"/>
    </row>
    <row r="45" spans="1:6" x14ac:dyDescent="0.25">
      <c r="A45" s="1"/>
      <c r="B45" s="1"/>
      <c r="C45" s="1"/>
      <c r="D45" s="1"/>
      <c r="E45" s="1"/>
      <c r="F45" s="1"/>
    </row>
    <row r="46" spans="1:6" x14ac:dyDescent="0.25">
      <c r="A46" s="1"/>
      <c r="B46" s="1"/>
      <c r="C46" s="1"/>
      <c r="D46" s="1"/>
      <c r="E46" s="1"/>
      <c r="F46" s="1"/>
    </row>
    <row r="47" spans="1:6" x14ac:dyDescent="0.25">
      <c r="A47" s="1"/>
      <c r="B47" s="1"/>
      <c r="C47" s="1"/>
      <c r="D47" s="1"/>
      <c r="E47" s="1"/>
      <c r="F47" s="1"/>
    </row>
    <row r="48" spans="1:6" x14ac:dyDescent="0.25">
      <c r="A48" s="1"/>
      <c r="B48" s="1"/>
      <c r="C48" s="1"/>
      <c r="D48" s="1"/>
      <c r="E48" s="1"/>
      <c r="F48" s="1"/>
    </row>
    <row r="49" spans="1:6" x14ac:dyDescent="0.25">
      <c r="A49" s="1"/>
      <c r="B49" s="1"/>
      <c r="C49" s="1"/>
      <c r="D49" s="1"/>
      <c r="E49" s="1"/>
      <c r="F49" s="1"/>
    </row>
    <row r="50" spans="1:6" x14ac:dyDescent="0.25">
      <c r="A50" s="1"/>
      <c r="B50" s="1"/>
      <c r="C50" s="1"/>
      <c r="D50" s="1"/>
      <c r="E50" s="1"/>
      <c r="F50" s="1"/>
    </row>
  </sheetData>
  <printOptions gridLines="1"/>
  <pageMargins left="0.7" right="0.7" top="0.75" bottom="0.75" header="0.3" footer="0.3"/>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90EE90"/>
  </sheetPr>
  <dimension ref="A1:N6"/>
  <sheetViews>
    <sheetView workbookViewId="0">
      <pane ySplit="4" topLeftCell="A5" activePane="bottomLeft" state="frozen"/>
      <selection pane="bottomLeft" activeCell="A3" sqref="A3"/>
    </sheetView>
  </sheetViews>
  <sheetFormatPr defaultRowHeight="15" x14ac:dyDescent="0.25"/>
  <cols>
    <col min="1" max="1" width="13.7109375" customWidth="1"/>
    <col min="2" max="4" width="20.7109375" customWidth="1"/>
    <col min="5" max="5" width="30.85546875" bestFit="1" customWidth="1"/>
    <col min="6" max="6" width="40" bestFit="1" customWidth="1"/>
    <col min="7" max="26" width="20.7109375" customWidth="1"/>
  </cols>
  <sheetData>
    <row r="1" spans="1:14" ht="150" customHeight="1" x14ac:dyDescent="0.25">
      <c r="A1" s="165" t="s">
        <v>6689</v>
      </c>
      <c r="B1" s="165"/>
      <c r="C1" s="165"/>
      <c r="D1" s="165"/>
      <c r="E1" s="165"/>
      <c r="F1" s="165"/>
      <c r="G1" s="165"/>
      <c r="H1" s="165"/>
    </row>
    <row r="2" spans="1:14" ht="28.5" customHeight="1" x14ac:dyDescent="0.25">
      <c r="A2" s="36"/>
      <c r="B2" s="36"/>
    </row>
    <row r="3" spans="1:14" s="21" customFormat="1" ht="32.25" customHeight="1" x14ac:dyDescent="0.25">
      <c r="A3" s="166" t="s">
        <v>1891</v>
      </c>
      <c r="B3" s="21" t="s">
        <v>1916</v>
      </c>
      <c r="C3" s="21" t="s">
        <v>6981</v>
      </c>
      <c r="D3" s="21" t="s">
        <v>6982</v>
      </c>
      <c r="E3" s="21" t="s">
        <v>6979</v>
      </c>
      <c r="F3" s="21" t="s">
        <v>6980</v>
      </c>
      <c r="G3" s="21" t="s">
        <v>6404</v>
      </c>
      <c r="H3" s="21" t="s">
        <v>3886</v>
      </c>
      <c r="I3" s="21" t="s">
        <v>290</v>
      </c>
      <c r="J3" s="21" t="s">
        <v>6399</v>
      </c>
      <c r="K3" s="21" t="s">
        <v>6405</v>
      </c>
      <c r="L3" s="21" t="s">
        <v>6407</v>
      </c>
      <c r="M3" s="21" t="s">
        <v>6413</v>
      </c>
      <c r="N3" s="21" t="s">
        <v>6414</v>
      </c>
    </row>
    <row r="4" spans="1:14" x14ac:dyDescent="0.25">
      <c r="A4" s="8" t="s">
        <v>93</v>
      </c>
      <c r="B4" s="8" t="s">
        <v>94</v>
      </c>
      <c r="C4" s="8" t="s">
        <v>95</v>
      </c>
      <c r="D4" s="8" t="s">
        <v>96</v>
      </c>
      <c r="E4" s="8" t="s">
        <v>97</v>
      </c>
      <c r="F4" s="8" t="s">
        <v>98</v>
      </c>
      <c r="G4" s="8" t="s">
        <v>3812</v>
      </c>
      <c r="H4" s="8" t="s">
        <v>3813</v>
      </c>
      <c r="I4" s="8" t="s">
        <v>99</v>
      </c>
      <c r="J4" s="8" t="s">
        <v>3810</v>
      </c>
      <c r="K4" s="8" t="s">
        <v>3816</v>
      </c>
      <c r="L4" s="8" t="s">
        <v>3818</v>
      </c>
      <c r="M4" s="8" t="s">
        <v>3827</v>
      </c>
      <c r="N4" s="8" t="s">
        <v>3828</v>
      </c>
    </row>
    <row r="5" spans="1:14" x14ac:dyDescent="0.25">
      <c r="A5" t="s">
        <v>6436</v>
      </c>
    </row>
    <row r="6" spans="1:14" x14ac:dyDescent="0.25">
      <c r="A6" t="s">
        <v>6978</v>
      </c>
      <c r="B6" t="s">
        <v>6985</v>
      </c>
      <c r="E6" t="s">
        <v>588</v>
      </c>
      <c r="F6" t="s">
        <v>590</v>
      </c>
      <c r="G6">
        <v>4</v>
      </c>
      <c r="H6">
        <v>7</v>
      </c>
      <c r="J6" t="s">
        <v>6986</v>
      </c>
      <c r="L6">
        <v>1</v>
      </c>
      <c r="M6" s="27">
        <v>45721</v>
      </c>
      <c r="N6" s="27">
        <v>45721</v>
      </c>
    </row>
  </sheetData>
  <mergeCells count="1">
    <mergeCell ref="A1:H1"/>
  </mergeCells>
  <dataValidations count="1">
    <dataValidation allowBlank="1" showDropDown="1" showInputMessage="1" showErrorMessage="1" sqref="G5:N7 B5:D7" xr:uid="{EF5788DC-2B29-4925-884F-4EC2B1E909BC}"/>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E5:E7</xm:sqref>
        </x14:dataValidation>
        <x14:dataValidation type="list" allowBlank="1" showInputMessage="1" showErrorMessage="1" xr:uid="{D2E846F2-05CE-4580-BFDA-2D1CC49A5FA7}">
          <x14:formula1>
            <xm:f>DropDown!$F$3:$F$6</xm:f>
          </x14:formula1>
          <xm:sqref>F5:F7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theme="6" tint="0.59999389629810485"/>
  </sheetPr>
  <dimension ref="A1:L21"/>
  <sheetViews>
    <sheetView zoomScaleNormal="100" workbookViewId="0">
      <pane ySplit="4" topLeftCell="A5" activePane="bottomLeft" state="frozen"/>
      <selection pane="bottomLeft" activeCell="A15" sqref="A15:L21"/>
    </sheetView>
  </sheetViews>
  <sheetFormatPr defaultRowHeight="15" x14ac:dyDescent="0.25"/>
  <cols>
    <col min="1" max="1" width="13.7109375" customWidth="1"/>
    <col min="2" max="2" width="10.7109375" customWidth="1"/>
    <col min="3" max="11" width="20.7109375" customWidth="1"/>
    <col min="12" max="12" width="28.5703125" bestFit="1" customWidth="1"/>
    <col min="13" max="26" width="20.7109375" customWidth="1"/>
  </cols>
  <sheetData>
    <row r="1" spans="1:12" ht="150" customHeight="1" x14ac:dyDescent="0.25">
      <c r="A1" s="165" t="s">
        <v>2011</v>
      </c>
      <c r="B1" s="165"/>
      <c r="C1" s="165"/>
      <c r="D1" s="165"/>
      <c r="E1" s="165"/>
      <c r="F1" s="165"/>
      <c r="G1" s="165"/>
      <c r="H1" s="165"/>
    </row>
    <row r="2" spans="1:12" ht="28.5" customHeight="1" x14ac:dyDescent="0.25">
      <c r="A2" s="36"/>
      <c r="B2" s="36"/>
    </row>
    <row r="3" spans="1:12" s="21" customFormat="1" ht="32.25" customHeight="1" x14ac:dyDescent="0.25">
      <c r="A3" s="166" t="s">
        <v>1927</v>
      </c>
      <c r="B3" s="166" t="s">
        <v>2002</v>
      </c>
      <c r="C3" s="21" t="s">
        <v>6677</v>
      </c>
      <c r="D3" s="21" t="s">
        <v>6670</v>
      </c>
      <c r="E3" s="21" t="s">
        <v>6674</v>
      </c>
      <c r="F3" s="21" t="s">
        <v>2006</v>
      </c>
      <c r="G3" s="21" t="s">
        <v>6671</v>
      </c>
      <c r="H3" s="21" t="s">
        <v>6676</v>
      </c>
      <c r="I3" s="21" t="s">
        <v>6673</v>
      </c>
      <c r="J3" s="21" t="s">
        <v>6675</v>
      </c>
      <c r="K3" s="21" t="s">
        <v>462</v>
      </c>
      <c r="L3" s="21" t="s">
        <v>6743</v>
      </c>
    </row>
    <row r="4" spans="1:12" x14ac:dyDescent="0.25">
      <c r="A4" s="4" t="s">
        <v>93</v>
      </c>
      <c r="B4" s="4" t="s">
        <v>6443</v>
      </c>
      <c r="C4" s="4" t="s">
        <v>1995</v>
      </c>
      <c r="D4" s="4" t="s">
        <v>3848</v>
      </c>
      <c r="E4" s="4" t="s">
        <v>1993</v>
      </c>
      <c r="F4" s="4" t="s">
        <v>1997</v>
      </c>
      <c r="G4" s="4" t="s">
        <v>3849</v>
      </c>
      <c r="H4" s="4" t="s">
        <v>2000</v>
      </c>
      <c r="I4" s="4" t="s">
        <v>3851</v>
      </c>
      <c r="J4" s="4" t="s">
        <v>1998</v>
      </c>
      <c r="K4" s="4" t="s">
        <v>2001</v>
      </c>
      <c r="L4" s="4" t="s">
        <v>3852</v>
      </c>
    </row>
    <row r="5" spans="1:12" x14ac:dyDescent="0.25">
      <c r="A5" t="s">
        <v>6436</v>
      </c>
      <c r="B5">
        <v>2</v>
      </c>
      <c r="C5">
        <v>7</v>
      </c>
      <c r="D5">
        <v>4.5</v>
      </c>
      <c r="E5">
        <v>31.5</v>
      </c>
      <c r="G5">
        <v>20.350000000000001</v>
      </c>
      <c r="H5">
        <v>7</v>
      </c>
      <c r="I5">
        <v>1.5</v>
      </c>
      <c r="J5">
        <v>10.5</v>
      </c>
      <c r="K5" t="s">
        <v>617</v>
      </c>
      <c r="L5" t="s">
        <v>6745</v>
      </c>
    </row>
    <row r="6" spans="1:12" x14ac:dyDescent="0.25">
      <c r="A6" t="s">
        <v>6436</v>
      </c>
      <c r="B6">
        <v>3</v>
      </c>
      <c r="C6">
        <v>7</v>
      </c>
      <c r="D6">
        <v>4.5</v>
      </c>
      <c r="E6">
        <v>31.5</v>
      </c>
      <c r="G6">
        <v>20.350000000000001</v>
      </c>
      <c r="H6">
        <v>7</v>
      </c>
      <c r="I6">
        <v>1.5</v>
      </c>
      <c r="J6">
        <v>10.5</v>
      </c>
      <c r="K6" t="s">
        <v>617</v>
      </c>
      <c r="L6" t="s">
        <v>6745</v>
      </c>
    </row>
    <row r="7" spans="1:12" x14ac:dyDescent="0.25">
      <c r="A7" t="s">
        <v>6436</v>
      </c>
      <c r="B7">
        <v>4</v>
      </c>
      <c r="C7">
        <v>7</v>
      </c>
      <c r="D7">
        <v>4.5</v>
      </c>
      <c r="E7">
        <v>31.5</v>
      </c>
      <c r="G7">
        <v>20.350000000000001</v>
      </c>
      <c r="H7">
        <v>7</v>
      </c>
      <c r="I7">
        <v>1.5</v>
      </c>
      <c r="J7">
        <v>10.5</v>
      </c>
      <c r="K7" t="s">
        <v>617</v>
      </c>
      <c r="L7" t="s">
        <v>6745</v>
      </c>
    </row>
    <row r="8" spans="1:12" x14ac:dyDescent="0.25">
      <c r="A8" t="s">
        <v>6436</v>
      </c>
      <c r="B8">
        <v>5</v>
      </c>
      <c r="C8">
        <v>7</v>
      </c>
      <c r="D8">
        <v>4.5</v>
      </c>
      <c r="E8">
        <v>31.5</v>
      </c>
      <c r="G8">
        <v>20.350000000000001</v>
      </c>
      <c r="H8">
        <v>7</v>
      </c>
      <c r="I8">
        <v>1.5</v>
      </c>
      <c r="J8">
        <v>10.5</v>
      </c>
      <c r="K8" t="s">
        <v>617</v>
      </c>
      <c r="L8" t="s">
        <v>6745</v>
      </c>
    </row>
    <row r="9" spans="1:12" x14ac:dyDescent="0.25">
      <c r="A9" t="s">
        <v>6436</v>
      </c>
      <c r="B9">
        <v>6</v>
      </c>
      <c r="C9">
        <v>7</v>
      </c>
      <c r="D9">
        <v>4.5</v>
      </c>
      <c r="E9">
        <v>31.5</v>
      </c>
      <c r="G9">
        <v>20.350000000000001</v>
      </c>
      <c r="H9">
        <v>7</v>
      </c>
      <c r="I9">
        <v>1.5</v>
      </c>
      <c r="J9">
        <v>10.5</v>
      </c>
      <c r="K9" t="s">
        <v>617</v>
      </c>
      <c r="L9" t="s">
        <v>6745</v>
      </c>
    </row>
    <row r="10" spans="1:12" x14ac:dyDescent="0.25">
      <c r="A10" t="s">
        <v>6436</v>
      </c>
      <c r="B10">
        <v>27</v>
      </c>
      <c r="C10">
        <v>7</v>
      </c>
      <c r="D10">
        <v>4.5</v>
      </c>
      <c r="E10">
        <v>31.5</v>
      </c>
      <c r="G10">
        <v>20.350000000000001</v>
      </c>
      <c r="H10">
        <v>7</v>
      </c>
      <c r="I10">
        <v>1.5</v>
      </c>
      <c r="J10">
        <v>10.5</v>
      </c>
      <c r="K10" t="s">
        <v>617</v>
      </c>
      <c r="L10" t="s">
        <v>6745</v>
      </c>
    </row>
    <row r="11" spans="1:12" x14ac:dyDescent="0.25">
      <c r="A11" t="s">
        <v>6436</v>
      </c>
      <c r="B11">
        <v>28</v>
      </c>
      <c r="C11">
        <v>7</v>
      </c>
      <c r="D11">
        <v>4.5</v>
      </c>
      <c r="E11">
        <v>31.5</v>
      </c>
      <c r="G11">
        <v>20.350000000000001</v>
      </c>
      <c r="H11">
        <v>7</v>
      </c>
      <c r="I11">
        <v>1.5</v>
      </c>
      <c r="J11">
        <v>10.5</v>
      </c>
      <c r="K11" t="s">
        <v>617</v>
      </c>
      <c r="L11" t="s">
        <v>6745</v>
      </c>
    </row>
    <row r="12" spans="1:12" x14ac:dyDescent="0.25">
      <c r="A12" t="s">
        <v>6436</v>
      </c>
      <c r="B12">
        <v>29</v>
      </c>
      <c r="C12">
        <v>7</v>
      </c>
      <c r="D12">
        <v>4.5</v>
      </c>
      <c r="E12">
        <v>31.5</v>
      </c>
      <c r="G12">
        <v>20.350000000000001</v>
      </c>
      <c r="H12">
        <v>7</v>
      </c>
      <c r="I12">
        <v>1.5</v>
      </c>
      <c r="J12">
        <v>10.5</v>
      </c>
      <c r="K12" t="s">
        <v>617</v>
      </c>
      <c r="L12" t="s">
        <v>6745</v>
      </c>
    </row>
    <row r="13" spans="1:12" x14ac:dyDescent="0.25">
      <c r="A13" t="s">
        <v>6436</v>
      </c>
      <c r="B13">
        <v>30</v>
      </c>
      <c r="C13">
        <v>7</v>
      </c>
      <c r="D13">
        <v>4.5</v>
      </c>
      <c r="E13">
        <v>31.5</v>
      </c>
      <c r="G13">
        <v>20.350000000000001</v>
      </c>
      <c r="H13">
        <v>7</v>
      </c>
      <c r="I13">
        <v>1.5</v>
      </c>
      <c r="J13">
        <v>10.5</v>
      </c>
      <c r="K13" t="s">
        <v>617</v>
      </c>
      <c r="L13" t="s">
        <v>6745</v>
      </c>
    </row>
    <row r="14" spans="1:12" x14ac:dyDescent="0.25">
      <c r="A14" t="s">
        <v>6436</v>
      </c>
      <c r="B14">
        <v>31</v>
      </c>
      <c r="C14">
        <v>7</v>
      </c>
      <c r="D14">
        <v>4.5</v>
      </c>
      <c r="E14">
        <v>31.5</v>
      </c>
      <c r="G14">
        <v>20.350000000000001</v>
      </c>
      <c r="H14">
        <v>7</v>
      </c>
      <c r="I14">
        <v>1.5</v>
      </c>
      <c r="J14">
        <v>10.5</v>
      </c>
      <c r="K14" t="s">
        <v>617</v>
      </c>
      <c r="L14" t="s">
        <v>6745</v>
      </c>
    </row>
    <row r="15" spans="1:12" x14ac:dyDescent="0.25">
      <c r="A15" t="s">
        <v>6978</v>
      </c>
      <c r="B15">
        <v>1</v>
      </c>
      <c r="E15">
        <v>1.5</v>
      </c>
      <c r="J15">
        <v>0.2</v>
      </c>
      <c r="K15" t="s">
        <v>788</v>
      </c>
      <c r="L15" t="s">
        <v>7043</v>
      </c>
    </row>
    <row r="16" spans="1:12" x14ac:dyDescent="0.25">
      <c r="A16" t="s">
        <v>6978</v>
      </c>
      <c r="B16">
        <v>2</v>
      </c>
      <c r="E16">
        <v>1.5</v>
      </c>
      <c r="J16">
        <v>0.2</v>
      </c>
      <c r="K16" t="s">
        <v>788</v>
      </c>
      <c r="L16" t="s">
        <v>7043</v>
      </c>
    </row>
    <row r="17" spans="1:12" x14ac:dyDescent="0.25">
      <c r="A17" t="s">
        <v>6978</v>
      </c>
      <c r="B17">
        <v>3</v>
      </c>
      <c r="E17">
        <v>1.5</v>
      </c>
      <c r="J17">
        <v>0.2</v>
      </c>
      <c r="K17" t="s">
        <v>788</v>
      </c>
      <c r="L17" t="s">
        <v>7043</v>
      </c>
    </row>
    <row r="18" spans="1:12" x14ac:dyDescent="0.25">
      <c r="A18" t="s">
        <v>6978</v>
      </c>
      <c r="B18">
        <v>4</v>
      </c>
      <c r="E18">
        <v>1.5</v>
      </c>
      <c r="J18">
        <v>0.2</v>
      </c>
      <c r="K18" t="s">
        <v>788</v>
      </c>
      <c r="L18" t="s">
        <v>7043</v>
      </c>
    </row>
    <row r="19" spans="1:12" x14ac:dyDescent="0.25">
      <c r="A19" t="s">
        <v>6978</v>
      </c>
      <c r="B19">
        <v>5</v>
      </c>
      <c r="E19">
        <v>1.5</v>
      </c>
      <c r="J19">
        <v>0.2</v>
      </c>
      <c r="K19" t="s">
        <v>788</v>
      </c>
      <c r="L19" t="s">
        <v>7043</v>
      </c>
    </row>
    <row r="20" spans="1:12" x14ac:dyDescent="0.25">
      <c r="A20" t="s">
        <v>6978</v>
      </c>
      <c r="B20">
        <v>6</v>
      </c>
      <c r="E20">
        <v>1.5</v>
      </c>
      <c r="J20">
        <v>0.2</v>
      </c>
      <c r="K20" t="s">
        <v>788</v>
      </c>
      <c r="L20" t="s">
        <v>7043</v>
      </c>
    </row>
    <row r="21" spans="1:12" x14ac:dyDescent="0.25">
      <c r="A21" t="s">
        <v>6978</v>
      </c>
      <c r="B21">
        <v>7</v>
      </c>
      <c r="E21">
        <v>1.5</v>
      </c>
      <c r="J21">
        <v>0.2</v>
      </c>
      <c r="K21" t="s">
        <v>788</v>
      </c>
      <c r="L21" t="s">
        <v>7043</v>
      </c>
    </row>
  </sheetData>
  <mergeCells count="1">
    <mergeCell ref="A1:H1"/>
  </mergeCells>
  <dataValidations count="2">
    <dataValidation type="list" allowBlank="1" showInputMessage="1" showErrorMessage="1" sqref="A5:A22" xr:uid="{923CAB3C-0B00-414B-89AD-D9314E6E0B7E}">
      <formula1>ddl_experiments</formula1>
    </dataValidation>
    <dataValidation allowBlank="1" showDropDown="1" showInputMessage="1" showErrorMessage="1" sqref="C5:J22 L5:L22" xr:uid="{F0613283-A401-4EBF-8725-A9AC921A724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DropDown!$BZ$3:$BZ$9</xm:f>
          </x14:formula1>
          <xm:sqref>K5:K22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H9"/>
  <sheetViews>
    <sheetView workbookViewId="0">
      <pane ySplit="3" topLeftCell="A4" activePane="bottomLeft" state="frozen"/>
      <selection pane="bottomLeft" activeCell="F19" sqref="F19"/>
    </sheetView>
  </sheetViews>
  <sheetFormatPr defaultRowHeight="15" x14ac:dyDescent="0.25"/>
  <cols>
    <col min="1" max="1" width="13.7109375" customWidth="1"/>
    <col min="2" max="2" width="10.7109375" customWidth="1"/>
    <col min="3" max="26" width="20.7109375" customWidth="1"/>
  </cols>
  <sheetData>
    <row r="1" spans="1:8" ht="150" customHeight="1" x14ac:dyDescent="0.25">
      <c r="A1" s="165" t="s">
        <v>6690</v>
      </c>
      <c r="B1" s="165"/>
      <c r="C1" s="165"/>
      <c r="D1" s="165"/>
      <c r="E1" s="165"/>
      <c r="F1" s="165"/>
      <c r="G1" s="165"/>
      <c r="H1" s="165"/>
    </row>
    <row r="2" spans="1:8" ht="28.5" customHeight="1" x14ac:dyDescent="0.25">
      <c r="A2" s="36"/>
      <c r="B2" s="36"/>
    </row>
    <row r="3" spans="1:8" ht="32.25" customHeight="1" x14ac:dyDescent="0.25">
      <c r="A3" s="21" t="s">
        <v>1927</v>
      </c>
      <c r="B3" s="21" t="s">
        <v>1926</v>
      </c>
      <c r="C3" s="21" t="s">
        <v>1923</v>
      </c>
      <c r="D3" s="21" t="s">
        <v>1922</v>
      </c>
      <c r="E3" s="21" t="s">
        <v>1924</v>
      </c>
      <c r="F3" s="21" t="s">
        <v>1925</v>
      </c>
    </row>
    <row r="4" spans="1:8" x14ac:dyDescent="0.25">
      <c r="A4" t="s">
        <v>93</v>
      </c>
      <c r="B4" t="s">
        <v>101</v>
      </c>
      <c r="C4" t="s">
        <v>103</v>
      </c>
      <c r="D4" t="s">
        <v>102</v>
      </c>
      <c r="E4" t="s">
        <v>104</v>
      </c>
      <c r="F4" t="s">
        <v>105</v>
      </c>
    </row>
    <row r="5" spans="1:8" x14ac:dyDescent="0.25">
      <c r="A5" t="s">
        <v>6436</v>
      </c>
      <c r="B5" cm="1">
        <f t="array" ref="B5">IF(ROW() &lt; ROW(INDEX(persons[experiment_ID],ROWS(persons[experiment_ID]))), COUNTIF(INDEX(persons[experiment_ID],1):persons[[#This Row],[experiment_ID]],persons[[#This Row],[experiment_ID]]), "")</f>
        <v>1</v>
      </c>
      <c r="C5" t="s">
        <v>6429</v>
      </c>
      <c r="D5" t="s">
        <v>6430</v>
      </c>
      <c r="F5" t="s">
        <v>592</v>
      </c>
    </row>
    <row r="6" spans="1:8" x14ac:dyDescent="0.25">
      <c r="A6" t="s">
        <v>6436</v>
      </c>
      <c r="B6" cm="1">
        <f t="array" ref="B6">IF(ROW() &lt; ROW(INDEX(persons[experiment_ID],ROWS(persons[experiment_ID]))), COUNTIF(INDEX(persons[experiment_ID],1):persons[[#This Row],[experiment_ID]],persons[[#This Row],[experiment_ID]]), "")</f>
        <v>2</v>
      </c>
      <c r="C6" t="s">
        <v>6427</v>
      </c>
      <c r="D6" t="s">
        <v>6428</v>
      </c>
      <c r="F6" t="s">
        <v>690</v>
      </c>
    </row>
    <row r="7" spans="1:8" x14ac:dyDescent="0.25">
      <c r="A7" t="s">
        <v>6436</v>
      </c>
      <c r="B7" cm="1">
        <f t="array" ref="B7">IF(ROW() &lt; ROW(INDEX(persons[experiment_ID],ROWS(persons[experiment_ID]))), COUNTIF(INDEX(persons[experiment_ID],1):persons[[#This Row],[experiment_ID]],persons[[#This Row],[experiment_ID]]), "")</f>
        <v>3</v>
      </c>
      <c r="C7" t="s">
        <v>6431</v>
      </c>
      <c r="D7" t="s">
        <v>6432</v>
      </c>
      <c r="E7" t="s">
        <v>6433</v>
      </c>
      <c r="F7" t="s">
        <v>690</v>
      </c>
    </row>
    <row r="8" spans="1:8" x14ac:dyDescent="0.25">
      <c r="A8" t="s">
        <v>6978</v>
      </c>
      <c r="B8" cm="1">
        <f t="array" ref="B8">IF(ROW() &lt; ROW(INDEX(persons[experiment_ID],ROWS(persons[experiment_ID]))), COUNTIF(INDEX(persons[experiment_ID],1):persons[[#This Row],[experiment_ID]],persons[[#This Row],[experiment_ID]]), "")</f>
        <v>1</v>
      </c>
      <c r="C8" t="s">
        <v>6988</v>
      </c>
      <c r="D8" t="s">
        <v>6989</v>
      </c>
      <c r="F8" t="s">
        <v>592</v>
      </c>
    </row>
    <row r="9" spans="1:8" x14ac:dyDescent="0.25">
      <c r="B9" s="175" t="str" cm="1">
        <f t="array" ref="B9">IF(ROW() &lt; ROW(INDEX(persons[experiment_ID],ROWS(persons[experiment_ID]))), COUNTIF(INDEX(persons[experiment_ID],1):persons[[#This Row],[experiment_ID]],persons[[#This Row],[experiment_ID]]), "")</f>
        <v/>
      </c>
      <c r="C9" s="175"/>
      <c r="D9" s="175"/>
      <c r="E9" s="175"/>
      <c r="F9" s="175"/>
    </row>
  </sheetData>
  <mergeCells count="1">
    <mergeCell ref="A1:H1"/>
  </mergeCells>
  <dataValidations count="2">
    <dataValidation type="list" allowBlank="1" showInputMessage="1" showErrorMessage="1" sqref="A5:A9" xr:uid="{5EDE39C3-F05B-4B9A-B1A1-50EA35469713}">
      <formula1>ddl_experiments</formula1>
    </dataValidation>
    <dataValidation allowBlank="1" showDropDown="1" showInputMessage="1" showErrorMessage="1" sqref="C5:E9" xr:uid="{77884E30-220F-488B-8935-186E517F9A3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657ACF0-B005-4BA5-BD1E-0DCF76A784F2}">
          <x14:formula1>
            <xm:f>DropDown!$I$3:$I$9</xm:f>
          </x14:formula1>
          <xm:sqref>F5:F9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H8"/>
  <sheetViews>
    <sheetView workbookViewId="0">
      <pane ySplit="4" topLeftCell="A5" activePane="bottomLeft" state="frozen"/>
      <selection activeCell="I19" sqref="I19"/>
      <selection pane="bottomLeft" activeCell="G8" sqref="G8"/>
    </sheetView>
  </sheetViews>
  <sheetFormatPr defaultRowHeight="15" x14ac:dyDescent="0.25"/>
  <cols>
    <col min="1" max="1" width="13.7109375" customWidth="1"/>
    <col min="2" max="2" width="10.7109375" customWidth="1"/>
    <col min="3" max="3" width="31.42578125" bestFit="1" customWidth="1"/>
    <col min="4" max="4" width="33.42578125" bestFit="1" customWidth="1"/>
    <col min="5" max="5" width="26.85546875" bestFit="1" customWidth="1"/>
    <col min="6" max="6" width="25.85546875" bestFit="1" customWidth="1"/>
    <col min="7" max="26" width="20.7109375" customWidth="1"/>
  </cols>
  <sheetData>
    <row r="1" spans="1:8" ht="150" customHeight="1" x14ac:dyDescent="0.25">
      <c r="A1" s="165" t="s">
        <v>6691</v>
      </c>
      <c r="B1" s="165"/>
      <c r="C1" s="165"/>
      <c r="D1" s="165"/>
      <c r="E1" s="165"/>
      <c r="F1" s="165"/>
      <c r="G1" s="165"/>
      <c r="H1" s="165"/>
    </row>
    <row r="2" spans="1:8" ht="28.5" customHeight="1" x14ac:dyDescent="0.25">
      <c r="A2" s="36"/>
      <c r="B2" s="36"/>
    </row>
    <row r="3" spans="1:8" s="21" customFormat="1" ht="32.25" customHeight="1" x14ac:dyDescent="0.25">
      <c r="A3" s="21" t="s">
        <v>1927</v>
      </c>
      <c r="B3" s="21" t="s">
        <v>1926</v>
      </c>
      <c r="C3" s="21" t="s">
        <v>1928</v>
      </c>
      <c r="D3" s="21" t="s">
        <v>1930</v>
      </c>
      <c r="E3" s="21" t="s">
        <v>1929</v>
      </c>
      <c r="F3" s="21" t="s">
        <v>1899</v>
      </c>
    </row>
    <row r="4" spans="1:8" x14ac:dyDescent="0.25">
      <c r="A4" s="4" t="s">
        <v>93</v>
      </c>
      <c r="B4" s="4" t="s">
        <v>106</v>
      </c>
      <c r="C4" s="4" t="s">
        <v>107</v>
      </c>
      <c r="D4" s="4" t="s">
        <v>109</v>
      </c>
      <c r="E4" s="4" t="s">
        <v>108</v>
      </c>
      <c r="F4" s="4" t="s">
        <v>3847</v>
      </c>
    </row>
    <row r="5" spans="1:8" x14ac:dyDescent="0.25">
      <c r="A5" t="s">
        <v>6436</v>
      </c>
      <c r="B5" cm="1">
        <f t="array" ref="B5">IF(ROW() &lt; ROW(INDEX(institutions[experiment_ID],ROWS(institutions[experiment_ID]))), COUNTIF(INDEX(institutions[experiment_ID],1):institutions[[#This Row],[experiment_ID]],institutions[[#This Row],[experiment_ID]]), "")</f>
        <v>1</v>
      </c>
      <c r="C5" t="s">
        <v>6425</v>
      </c>
      <c r="D5" t="s">
        <v>596</v>
      </c>
      <c r="E5" t="s">
        <v>627</v>
      </c>
    </row>
    <row r="6" spans="1:8" x14ac:dyDescent="0.25">
      <c r="A6" t="s">
        <v>6436</v>
      </c>
      <c r="B6" cm="1">
        <f t="array" ref="B6">IF(ROW() &lt; ROW(INDEX(institutions[experiment_ID],ROWS(institutions[experiment_ID]))), COUNTIF(INDEX(institutions[experiment_ID],1):institutions[[#This Row],[experiment_ID]],institutions[[#This Row],[experiment_ID]]), "")</f>
        <v>2</v>
      </c>
      <c r="C6" t="s">
        <v>6426</v>
      </c>
      <c r="D6" t="s">
        <v>629</v>
      </c>
      <c r="E6" t="s">
        <v>627</v>
      </c>
    </row>
    <row r="7" spans="1:8" x14ac:dyDescent="0.25">
      <c r="A7" t="s">
        <v>6978</v>
      </c>
      <c r="B7" cm="1">
        <f t="array" ref="B7">IF(ROW() &lt; ROW(INDEX(institutions[experiment_ID],ROWS(institutions[experiment_ID]))), COUNTIF(INDEX(institutions[experiment_ID],1):institutions[[#This Row],[experiment_ID]],institutions[[#This Row],[experiment_ID]]), "")</f>
        <v>1</v>
      </c>
      <c r="C7" t="s">
        <v>6990</v>
      </c>
      <c r="D7" t="s">
        <v>596</v>
      </c>
      <c r="E7" t="s">
        <v>627</v>
      </c>
      <c r="F7" t="s">
        <v>6991</v>
      </c>
    </row>
    <row r="8" spans="1:8" x14ac:dyDescent="0.25">
      <c r="B8" t="str" cm="1">
        <f t="array" ref="B8">IF(ROW() &lt; ROW(INDEX(institutions[experiment_ID],ROWS(institutions[experiment_ID]))), COUNTIF(INDEX(institutions[experiment_ID],1):institutions[[#This Row],[experiment_ID]],institutions[[#This Row],[experiment_ID]]), "")</f>
        <v/>
      </c>
    </row>
  </sheetData>
  <mergeCells count="1">
    <mergeCell ref="A1:H1"/>
  </mergeCells>
  <dataValidations count="2">
    <dataValidation type="list" allowBlank="1" showInputMessage="1" showErrorMessage="1" sqref="A5:A8" xr:uid="{4C0405AE-2ECE-4A30-8135-1FE04A623303}">
      <formula1>ddl_experiments</formula1>
    </dataValidation>
    <dataValidation allowBlank="1" showDropDown="1" showInputMessage="1" showErrorMessage="1" sqref="C5:C8 F5:F8" xr:uid="{7FA24486-F897-4849-B7E1-53D04714FB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116B243-1B83-40DF-B5C5-A17766F09E2A}">
          <x14:formula1>
            <xm:f>DropDown!$O$3:$O$6</xm:f>
          </x14:formula1>
          <xm:sqref>D5:D8</xm:sqref>
        </x14:dataValidation>
        <x14:dataValidation type="list" allowBlank="1" showInputMessage="1" showErrorMessage="1" xr:uid="{DD1E563D-B0BC-4480-B721-25807A617DEA}">
          <x14:formula1>
            <xm:f>DropDown!$L$3:$L$10</xm:f>
          </x14:formula1>
          <xm:sqref>E5:E8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G6"/>
  <sheetViews>
    <sheetView workbookViewId="0">
      <pane ySplit="4" topLeftCell="A5" activePane="bottomLeft" state="frozen"/>
      <selection activeCell="I19" sqref="I19"/>
      <selection pane="bottomLeft" activeCell="G19" sqref="G19"/>
    </sheetView>
  </sheetViews>
  <sheetFormatPr defaultRowHeight="15" x14ac:dyDescent="0.25"/>
  <cols>
    <col min="1" max="1" width="13.7109375" customWidth="1"/>
    <col min="2" max="2" width="10.7109375" customWidth="1"/>
    <col min="3" max="3" width="20.7109375" customWidth="1"/>
    <col min="4" max="4" width="25.140625" bestFit="1" customWidth="1"/>
    <col min="5" max="26" width="20.7109375" customWidth="1"/>
  </cols>
  <sheetData>
    <row r="1" spans="1:7" ht="150" customHeight="1" x14ac:dyDescent="0.25">
      <c r="A1" s="165" t="s">
        <v>6692</v>
      </c>
      <c r="B1" s="165"/>
      <c r="C1" s="165"/>
      <c r="D1" s="165"/>
      <c r="E1" s="165"/>
      <c r="F1" s="165"/>
      <c r="G1" s="165"/>
    </row>
    <row r="2" spans="1:7" ht="28.5" customHeight="1" x14ac:dyDescent="0.25">
      <c r="A2" s="109"/>
      <c r="B2" s="109"/>
      <c r="C2" s="110"/>
    </row>
    <row r="3" spans="1:7" ht="32.25" customHeight="1" x14ac:dyDescent="0.25">
      <c r="A3" s="21" t="s">
        <v>1927</v>
      </c>
      <c r="B3" s="21" t="s">
        <v>1926</v>
      </c>
      <c r="C3" s="21" t="s">
        <v>2510</v>
      </c>
      <c r="D3" s="21" t="s">
        <v>1932</v>
      </c>
      <c r="E3" s="21" t="s">
        <v>1934</v>
      </c>
      <c r="F3" s="21" t="s">
        <v>1931</v>
      </c>
      <c r="G3" s="21" t="s">
        <v>1933</v>
      </c>
    </row>
    <row r="4" spans="1:7" x14ac:dyDescent="0.25">
      <c r="A4" s="4" t="s">
        <v>93</v>
      </c>
      <c r="B4" s="4" t="s">
        <v>110</v>
      </c>
      <c r="C4" s="4" t="s">
        <v>114</v>
      </c>
      <c r="D4" s="4" t="s">
        <v>112</v>
      </c>
      <c r="E4" s="4" t="s">
        <v>115</v>
      </c>
      <c r="F4" s="4" t="s">
        <v>111</v>
      </c>
      <c r="G4" s="4" t="s">
        <v>113</v>
      </c>
    </row>
    <row r="5" spans="1:7" x14ac:dyDescent="0.25">
      <c r="A5" t="s">
        <v>6978</v>
      </c>
      <c r="B5" cm="1">
        <f t="array" ref="B5">IF(ROW() &lt; ROW(INDEX(documents[experiment_ID],ROWS(documents[experiment_ID]))), COUNTIF(INDEX(documents[experiment_ID],1):documents[[#This Row],[experiment_ID]],documents[[#This Row],[experiment_ID]]), "")</f>
        <v>1</v>
      </c>
      <c r="C5" s="27">
        <v>28642</v>
      </c>
      <c r="D5" t="s">
        <v>6992</v>
      </c>
      <c r="E5" t="s">
        <v>6993</v>
      </c>
      <c r="F5" t="s">
        <v>6994</v>
      </c>
      <c r="G5" t="s">
        <v>6995</v>
      </c>
    </row>
    <row r="6" spans="1:7" x14ac:dyDescent="0.25">
      <c r="B6" t="str" cm="1">
        <f t="array" ref="B6">IF(ROW() &lt; ROW(INDEX(documents[experiment_ID],ROWS(documents[experiment_ID]))), COUNTIF(INDEX(documents[experiment_ID],1):documents[[#This Row],[experiment_ID]],documents[[#This Row],[experiment_ID]]), "")</f>
        <v/>
      </c>
    </row>
  </sheetData>
  <mergeCells count="1">
    <mergeCell ref="A1:G1"/>
  </mergeCells>
  <dataValidations count="2">
    <dataValidation type="list" allowBlank="1" showInputMessage="1" showErrorMessage="1" sqref="A5:A6" xr:uid="{FBC68689-3693-4E99-9AA5-1C9F03E96022}">
      <formula1>ddl_experiments</formula1>
    </dataValidation>
    <dataValidation allowBlank="1" showDropDown="1" showInputMessage="1" showErrorMessage="1" sqref="C5:G6" xr:uid="{B0EB5BC0-984B-4C1D-B7DD-22ADBB79A7D4}"/>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D198"/>
  <sheetViews>
    <sheetView workbookViewId="0">
      <pane ySplit="2" topLeftCell="A3" activePane="bottomLeft" state="frozen"/>
      <selection activeCell="A169" sqref="A169:XFD169"/>
      <selection pane="bottomLeft" activeCell="A169" sqref="A169:XFD169"/>
    </sheetView>
  </sheetViews>
  <sheetFormatPr defaultRowHeight="15" x14ac:dyDescent="0.25"/>
  <cols>
    <col min="1" max="27" width="6.7109375" customWidth="1"/>
    <col min="28" max="28" width="19.7109375" customWidth="1"/>
    <col min="29" max="111" width="6.7109375" customWidth="1"/>
  </cols>
  <sheetData>
    <row r="1" spans="1:108" x14ac:dyDescent="0.25">
      <c r="A1" s="9" t="s">
        <v>1460</v>
      </c>
      <c r="B1" s="9"/>
      <c r="C1" s="9"/>
      <c r="D1" s="9"/>
      <c r="E1" s="5"/>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60</v>
      </c>
      <c r="AN1" s="5"/>
      <c r="AO1" s="5"/>
      <c r="AP1" s="5"/>
      <c r="AQ1" s="5"/>
      <c r="AR1" s="5"/>
      <c r="AS1" s="5" t="s">
        <v>2801</v>
      </c>
      <c r="AT1" s="5"/>
      <c r="AU1" s="5"/>
      <c r="AX1" s="5" t="s">
        <v>62</v>
      </c>
      <c r="AY1" s="5"/>
      <c r="AZ1" s="5"/>
      <c r="BA1" s="5" t="s">
        <v>2045</v>
      </c>
      <c r="BB1" s="5"/>
      <c r="BC1" s="5"/>
      <c r="BD1" s="5" t="s">
        <v>64</v>
      </c>
      <c r="BE1" s="5"/>
      <c r="BF1" s="5"/>
      <c r="BG1" s="5"/>
      <c r="BH1" s="5"/>
      <c r="BI1" s="5"/>
      <c r="BM1" s="5" t="s">
        <v>2043</v>
      </c>
      <c r="BN1" s="5"/>
      <c r="BO1" s="5"/>
      <c r="BP1" s="5"/>
      <c r="BQ1" s="5"/>
      <c r="BR1" s="5"/>
      <c r="BS1" s="5" t="s">
        <v>2802</v>
      </c>
      <c r="BT1" s="5"/>
      <c r="BU1" s="5" t="s">
        <v>66</v>
      </c>
      <c r="BV1" s="5"/>
      <c r="BW1" s="5"/>
      <c r="BX1" s="5"/>
      <c r="BY1" s="5"/>
      <c r="BZ1" s="5"/>
      <c r="CC1" s="5" t="s">
        <v>69</v>
      </c>
      <c r="CD1" s="5"/>
      <c r="CE1" s="5" t="s">
        <v>72</v>
      </c>
      <c r="CF1" s="5"/>
      <c r="CG1" t="s">
        <v>3598</v>
      </c>
    </row>
    <row r="2" spans="1:108" x14ac:dyDescent="0.2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1872</v>
      </c>
      <c r="W2" s="6" t="s">
        <v>1462</v>
      </c>
      <c r="X2" s="6" t="s">
        <v>1484</v>
      </c>
      <c r="Y2" s="6" t="s">
        <v>2514</v>
      </c>
      <c r="Z2" s="6" t="s">
        <v>2515</v>
      </c>
      <c r="AA2" s="6" t="s">
        <v>2516</v>
      </c>
      <c r="AB2" s="6" t="s">
        <v>2517</v>
      </c>
      <c r="AC2" s="6" t="s">
        <v>2518</v>
      </c>
      <c r="AD2" s="6" t="s">
        <v>2519</v>
      </c>
      <c r="AE2" s="6" t="s">
        <v>1485</v>
      </c>
      <c r="AF2" s="6" t="s">
        <v>1486</v>
      </c>
      <c r="AG2" s="6" t="s">
        <v>1487</v>
      </c>
      <c r="AH2" s="6" t="s">
        <v>1488</v>
      </c>
      <c r="AI2" s="6" t="s">
        <v>1489</v>
      </c>
      <c r="AJ2" s="6" t="s">
        <v>1490</v>
      </c>
      <c r="AK2" s="6" t="s">
        <v>3586</v>
      </c>
      <c r="AL2" s="6" t="s">
        <v>3587</v>
      </c>
      <c r="AM2" s="6" t="s">
        <v>1491</v>
      </c>
      <c r="AN2" s="6" t="s">
        <v>1492</v>
      </c>
      <c r="AO2" s="6" t="s">
        <v>1493</v>
      </c>
      <c r="AP2" s="6" t="s">
        <v>1496</v>
      </c>
      <c r="AQ2" s="6" t="s">
        <v>1494</v>
      </c>
      <c r="AR2" s="6" t="s">
        <v>1495</v>
      </c>
      <c r="AS2" s="6" t="s">
        <v>3685</v>
      </c>
      <c r="AT2" s="6" t="s">
        <v>3686</v>
      </c>
      <c r="AU2" s="6" t="s">
        <v>3687</v>
      </c>
      <c r="AV2" s="6" t="s">
        <v>3688</v>
      </c>
      <c r="AW2" s="6" t="s">
        <v>3689</v>
      </c>
      <c r="AX2" s="6" t="s">
        <v>1497</v>
      </c>
      <c r="AY2" s="6" t="s">
        <v>1502</v>
      </c>
      <c r="AZ2" s="6" t="s">
        <v>1511</v>
      </c>
      <c r="BA2" s="6" t="s">
        <v>3726</v>
      </c>
      <c r="BB2" s="6" t="s">
        <v>3727</v>
      </c>
      <c r="BC2" s="6" t="s">
        <v>3728</v>
      </c>
      <c r="BD2" s="6" t="s">
        <v>1498</v>
      </c>
      <c r="BE2" s="6" t="s">
        <v>1503</v>
      </c>
      <c r="BF2" s="6" t="s">
        <v>1507</v>
      </c>
      <c r="BG2" s="6" t="s">
        <v>1499</v>
      </c>
      <c r="BH2" s="6" t="s">
        <v>1504</v>
      </c>
      <c r="BI2" s="6" t="s">
        <v>1508</v>
      </c>
      <c r="BJ2" s="6" t="s">
        <v>3708</v>
      </c>
      <c r="BK2" s="6" t="s">
        <v>3709</v>
      </c>
      <c r="BL2" s="6" t="s">
        <v>3710</v>
      </c>
      <c r="BM2" t="s">
        <v>3576</v>
      </c>
      <c r="BN2" t="s">
        <v>3575</v>
      </c>
      <c r="BO2" t="s">
        <v>3573</v>
      </c>
      <c r="BP2" t="s">
        <v>3574</v>
      </c>
      <c r="BQ2" t="s">
        <v>3577</v>
      </c>
      <c r="BR2" t="s">
        <v>3578</v>
      </c>
      <c r="BS2" s="6" t="s">
        <v>3564</v>
      </c>
      <c r="BT2" s="6" t="s">
        <v>3565</v>
      </c>
      <c r="BU2" s="6" t="s">
        <v>1500</v>
      </c>
      <c r="BV2" s="6" t="s">
        <v>1505</v>
      </c>
      <c r="BW2" s="6" t="s">
        <v>1509</v>
      </c>
      <c r="BX2" s="6" t="s">
        <v>1501</v>
      </c>
      <c r="BY2" s="6" t="s">
        <v>1506</v>
      </c>
      <c r="BZ2" s="6" t="s">
        <v>1510</v>
      </c>
      <c r="CA2" s="6" t="s">
        <v>3579</v>
      </c>
      <c r="CB2" s="6" t="s">
        <v>3580</v>
      </c>
      <c r="CC2" s="6" t="s">
        <v>1512</v>
      </c>
      <c r="CD2" s="6" t="s">
        <v>1513</v>
      </c>
      <c r="CE2" s="6" t="s">
        <v>3792</v>
      </c>
      <c r="CF2" s="6" t="s">
        <v>3793</v>
      </c>
      <c r="CG2" s="6" t="s">
        <v>3599</v>
      </c>
      <c r="CH2" s="6" t="s">
        <v>3607</v>
      </c>
      <c r="CI2" s="6" t="s">
        <v>3615</v>
      </c>
      <c r="CJ2" s="6" t="s">
        <v>3600</v>
      </c>
      <c r="CK2" s="6" t="s">
        <v>3608</v>
      </c>
      <c r="CL2" s="6" t="s">
        <v>3616</v>
      </c>
      <c r="CM2" s="6" t="s">
        <v>3601</v>
      </c>
      <c r="CN2" s="6" t="s">
        <v>3609</v>
      </c>
      <c r="CO2" s="6" t="s">
        <v>3617</v>
      </c>
      <c r="CP2" s="6" t="s">
        <v>3602</v>
      </c>
      <c r="CQ2" s="6" t="s">
        <v>3610</v>
      </c>
      <c r="CR2" s="6" t="s">
        <v>3618</v>
      </c>
      <c r="CS2" s="6" t="s">
        <v>3603</v>
      </c>
      <c r="CT2" s="6" t="s">
        <v>3611</v>
      </c>
      <c r="CU2" s="6" t="s">
        <v>3619</v>
      </c>
      <c r="CV2" s="6" t="s">
        <v>3604</v>
      </c>
      <c r="CW2" s="6" t="s">
        <v>3612</v>
      </c>
      <c r="CX2" s="6" t="s">
        <v>3620</v>
      </c>
      <c r="CY2" s="6" t="s">
        <v>3605</v>
      </c>
      <c r="CZ2" s="6" t="s">
        <v>3613</v>
      </c>
      <c r="DA2" s="6" t="s">
        <v>3621</v>
      </c>
      <c r="DB2" s="6" t="s">
        <v>3606</v>
      </c>
      <c r="DC2" s="6" t="s">
        <v>3614</v>
      </c>
      <c r="DD2" s="6" t="s">
        <v>3622</v>
      </c>
    </row>
    <row r="3" spans="1:108" x14ac:dyDescent="0.2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1677</v>
      </c>
      <c r="W3" t="s">
        <v>609</v>
      </c>
      <c r="X3" t="s">
        <v>610</v>
      </c>
      <c r="AB3" t="s">
        <v>2520</v>
      </c>
      <c r="AC3" t="s">
        <v>2557</v>
      </c>
      <c r="AD3" t="str" cm="1">
        <f t="array" ref="AD3:AD40">_xlfn._xlws.SORT(_xlfn.UNIQUE(ddl_tillageImplement))</f>
        <v>Bedder</v>
      </c>
      <c r="AH3" s="7" t="s">
        <v>600</v>
      </c>
      <c r="AI3" t="s">
        <v>601</v>
      </c>
      <c r="AJ3" t="str" cm="1">
        <f t="array" ref="AJ3:AJ10">_xlfn._xlws.SORT(_xlfn.UNIQUE(ddl_cropUse))</f>
        <v>cash crop</v>
      </c>
      <c r="AK3" s="37" t="s">
        <v>3588</v>
      </c>
      <c r="AL3" t="s">
        <v>3592</v>
      </c>
      <c r="AM3" t="s">
        <v>604</v>
      </c>
      <c r="AN3" t="s">
        <v>605</v>
      </c>
      <c r="AO3" t="str" cm="1">
        <f t="array" ref="AO3:AO11">_xlfn._xlws.SORT(_xlfn.UNIQUE(ddl_plantingMaterial))</f>
        <v>Cutting</v>
      </c>
      <c r="AP3" t="s">
        <v>606</v>
      </c>
      <c r="AQ3" t="s">
        <v>48</v>
      </c>
      <c r="AR3" t="str" cm="1">
        <f t="array" ref="AR3:AR8">_xlfn._xlws.SORT(_xlfn.UNIQUE(ddl_plantingDistribution))</f>
        <v>Hills</v>
      </c>
      <c r="AS3" t="s">
        <v>3672</v>
      </c>
      <c r="AT3" t="s">
        <v>3678</v>
      </c>
      <c r="AU3" t="s">
        <v>3690</v>
      </c>
      <c r="AV3" t="s">
        <v>591</v>
      </c>
      <c r="AW3" t="str" cm="1">
        <f t="array" ref="AW3:AW13">_xlfn._xlws.SORT(_xlfn.UNIQUE(ddl_mulchType))</f>
        <v>Foil</v>
      </c>
      <c r="AX3" s="7" t="s">
        <v>607</v>
      </c>
      <c r="AY3" t="s">
        <v>608</v>
      </c>
      <c r="AZ3" t="str" cm="1">
        <f t="array" ref="AZ3:AZ15">_xlfn._xlws.SORT(_xlfn.UNIQUE(ddl_irrigationOperation))</f>
        <v>Alternating furrows, mm</v>
      </c>
      <c r="BA3" t="s">
        <v>3729</v>
      </c>
      <c r="BB3" t="s">
        <v>3756</v>
      </c>
      <c r="BC3" t="str" cm="1">
        <f t="array" ref="BC3:BC37">_xlfn._xlws.SORT(_xlfn.UNIQUE(ddl_organicFertilizerMaterial))</f>
        <v>Alfalfa residue</v>
      </c>
      <c r="BD3" t="s">
        <v>611</v>
      </c>
      <c r="BE3" t="s">
        <v>612</v>
      </c>
      <c r="BF3" t="str" cm="1">
        <f t="array" ref="BF3:BF143">_xlfn._xlws.SORT(_xlfn.UNIQUE(ddl_fertilizerMaterial))</f>
        <v>19% AN (54% A.N. + 46% water)</v>
      </c>
      <c r="BG3" t="s">
        <v>613</v>
      </c>
      <c r="BH3" t="s">
        <v>614</v>
      </c>
      <c r="BI3" t="str" cm="1">
        <f t="array" ref="BI3:BI22">_xlfn._xlws.SORT(_xlfn.UNIQUE(ddl_applicationMethod))</f>
        <v>Application method unknown/not given</v>
      </c>
      <c r="BJ3" t="s">
        <v>3711</v>
      </c>
      <c r="BK3" t="s">
        <v>3719</v>
      </c>
      <c r="BL3" t="str" cm="1">
        <f t="array" ref="BL3:BL10">_xlfn._xlws.SORT(_xlfn.UNIQUE(ddl_element))</f>
        <v>Boron</v>
      </c>
      <c r="BM3" t="s">
        <v>3468</v>
      </c>
      <c r="BN3" t="s">
        <v>3516</v>
      </c>
      <c r="BO3" t="str" cm="1">
        <f t="array" ref="BO3:BO50">_xlfn._xlws.SORT(_xlfn.UNIQUE(ddl_pesticideMaterial))</f>
        <v>2,4,5-T [Herbicide]</v>
      </c>
      <c r="BS3" t="s">
        <v>3566</v>
      </c>
      <c r="BT3" t="s">
        <v>3570</v>
      </c>
      <c r="BU3" s="7" t="s">
        <v>615</v>
      </c>
      <c r="BV3" t="s">
        <v>616</v>
      </c>
      <c r="BW3" t="str" cm="1">
        <f t="array" ref="BW3:BW11">_xlfn._xlws.SORT(_xlfn.UNIQUE(ddl_harvestComponent))</f>
        <v>Above-ground biomass</v>
      </c>
      <c r="BX3" s="7" t="s">
        <v>617</v>
      </c>
      <c r="BY3" s="7" t="s">
        <v>618</v>
      </c>
      <c r="BZ3" s="7" t="str" cm="1">
        <f t="array" ref="BZ3:BZ9">_xlfn._xlws.SORT(_xlfn.UNIQUE(ddl_harvestMethod))</f>
        <v>Combined</v>
      </c>
      <c r="CA3" t="s">
        <v>3581</v>
      </c>
      <c r="CB3" t="s">
        <v>3570</v>
      </c>
      <c r="CC3" t="s">
        <v>619</v>
      </c>
      <c r="CD3" t="s">
        <v>620</v>
      </c>
      <c r="CE3" t="s">
        <v>640</v>
      </c>
      <c r="CF3" t="s">
        <v>640</v>
      </c>
      <c r="CG3" s="37" t="s">
        <v>3623</v>
      </c>
      <c r="CH3" t="s">
        <v>3623</v>
      </c>
      <c r="CI3" t="str" cm="1">
        <f t="array" ref="CI3:CI8">_xlfn._xlws.SORT(_xlfn.UNIQUE(ddl_methodPHBuffer))</f>
        <v>Method unknown/not given</v>
      </c>
      <c r="CJ3" t="s">
        <v>3629</v>
      </c>
      <c r="CK3" t="s">
        <v>3644</v>
      </c>
      <c r="CL3" t="str" cm="1">
        <f t="array" ref="CL3:CL18">_xlfn._xlws.SORT(_xlfn.UNIQUE(ddl_methodP))</f>
        <v>Anion exchange resin</v>
      </c>
      <c r="CM3" t="s">
        <v>3643</v>
      </c>
      <c r="CN3" t="s">
        <v>3662</v>
      </c>
      <c r="CO3" s="37" t="str" cm="1">
        <f t="array" ref="CO3:CO7">_xlfn._xlws.SORT(_xlfn.UNIQUE(ddl_methodK))</f>
        <v>Mehlich 3</v>
      </c>
      <c r="CP3" s="37" t="s">
        <v>788</v>
      </c>
      <c r="CQ3" t="s">
        <v>3667</v>
      </c>
      <c r="CR3" s="37" t="str" cm="1">
        <f t="array" ref="CR3">_xlfn._xlws.SORT(_xlfn.UNIQUE(ddl_methodCa))</f>
        <v>Method unknown/not given</v>
      </c>
      <c r="CS3" s="88" t="s">
        <v>788</v>
      </c>
      <c r="CT3" s="37" t="s">
        <v>3668</v>
      </c>
      <c r="CV3" s="37" t="s">
        <v>788</v>
      </c>
      <c r="CW3" s="37" t="s">
        <v>3669</v>
      </c>
      <c r="CY3" s="37" t="s">
        <v>788</v>
      </c>
      <c r="CZ3" s="37" t="s">
        <v>3670</v>
      </c>
      <c r="DB3" s="37" t="s">
        <v>788</v>
      </c>
      <c r="DC3" s="37" t="s">
        <v>3671</v>
      </c>
    </row>
    <row r="4" spans="1:108" x14ac:dyDescent="0.2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1678</v>
      </c>
      <c r="W4" t="s">
        <v>643</v>
      </c>
      <c r="X4" t="s">
        <v>644</v>
      </c>
      <c r="AB4" t="s">
        <v>2521</v>
      </c>
      <c r="AC4" t="s">
        <v>2558</v>
      </c>
      <c r="AD4" t="str">
        <v>Blade cultivator</v>
      </c>
      <c r="AH4" s="7" t="s">
        <v>633</v>
      </c>
      <c r="AI4" t="s">
        <v>634</v>
      </c>
      <c r="AJ4" t="str">
        <v>cover crop</v>
      </c>
      <c r="AK4" t="s">
        <v>3589</v>
      </c>
      <c r="AL4" t="s">
        <v>3593</v>
      </c>
      <c r="AM4" t="s">
        <v>637</v>
      </c>
      <c r="AN4" t="s">
        <v>638</v>
      </c>
      <c r="AO4" t="str">
        <v>Dry seed</v>
      </c>
      <c r="AP4" t="s">
        <v>639</v>
      </c>
      <c r="AQ4" t="s">
        <v>640</v>
      </c>
      <c r="AR4" t="str">
        <v>Pots</v>
      </c>
      <c r="AS4" t="s">
        <v>3673</v>
      </c>
      <c r="AT4" t="s">
        <v>3679</v>
      </c>
      <c r="AU4" t="s">
        <v>3691</v>
      </c>
      <c r="AV4" t="s">
        <v>624</v>
      </c>
      <c r="AW4" t="str">
        <v>Foil coated plastic</v>
      </c>
      <c r="AX4" s="7" t="s">
        <v>641</v>
      </c>
      <c r="AY4" t="s">
        <v>642</v>
      </c>
      <c r="AZ4" t="str">
        <v>Bund height, mm</v>
      </c>
      <c r="BA4" t="s">
        <v>3730</v>
      </c>
      <c r="BB4" t="s">
        <v>3757</v>
      </c>
      <c r="BC4" t="str">
        <v>Bahiagrass</v>
      </c>
      <c r="BD4" t="s">
        <v>645</v>
      </c>
      <c r="BE4" t="s">
        <v>646</v>
      </c>
      <c r="BF4" t="str">
        <v>21% AN (60% A.N. + 40% water)</v>
      </c>
      <c r="BG4" t="s">
        <v>647</v>
      </c>
      <c r="BH4" t="s">
        <v>648</v>
      </c>
      <c r="BI4" t="str">
        <v>Applied in irrigation water</v>
      </c>
      <c r="BJ4" t="s">
        <v>3712</v>
      </c>
      <c r="BK4" t="s">
        <v>3720</v>
      </c>
      <c r="BL4" t="str">
        <v>Cadmium</v>
      </c>
      <c r="BM4" t="s">
        <v>3469</v>
      </c>
      <c r="BN4" t="s">
        <v>3517</v>
      </c>
      <c r="BO4" t="str">
        <v>2,4-D [Herbicide]</v>
      </c>
      <c r="BS4" t="s">
        <v>3567</v>
      </c>
      <c r="BT4" t="s">
        <v>605</v>
      </c>
      <c r="BU4" s="7" t="s">
        <v>649</v>
      </c>
      <c r="BV4" t="s">
        <v>650</v>
      </c>
      <c r="BW4" t="str">
        <v>Cotton boll, including lint</v>
      </c>
      <c r="BX4" s="7" t="s">
        <v>651</v>
      </c>
      <c r="BY4" s="7" t="s">
        <v>652</v>
      </c>
      <c r="BZ4" s="7" t="str">
        <v>Cotton stripper</v>
      </c>
      <c r="CA4" t="s">
        <v>3582</v>
      </c>
      <c r="CB4" t="s">
        <v>605</v>
      </c>
      <c r="CC4" t="s">
        <v>653</v>
      </c>
      <c r="CD4" t="s">
        <v>654</v>
      </c>
      <c r="CE4" t="s">
        <v>3794</v>
      </c>
      <c r="CF4" t="s">
        <v>3794</v>
      </c>
      <c r="CG4" s="37" t="s">
        <v>3624</v>
      </c>
      <c r="CH4" t="s">
        <v>3624</v>
      </c>
      <c r="CI4" t="str">
        <v>SA101</v>
      </c>
      <c r="CJ4" t="s">
        <v>3630</v>
      </c>
      <c r="CK4" t="s">
        <v>3645</v>
      </c>
      <c r="CL4" t="str">
        <v>Bray No. 1</v>
      </c>
      <c r="CM4" t="s">
        <v>3660</v>
      </c>
      <c r="CN4" t="s">
        <v>3663</v>
      </c>
      <c r="CO4" t="str">
        <v>Mehlich I (1:10)</v>
      </c>
    </row>
    <row r="5" spans="1:108" x14ac:dyDescent="0.2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1679</v>
      </c>
      <c r="AB5" t="s">
        <v>2522</v>
      </c>
      <c r="AC5" t="s">
        <v>2559</v>
      </c>
      <c r="AD5" t="str">
        <v>Chisel plow, straight point</v>
      </c>
      <c r="AH5" s="7" t="s">
        <v>667</v>
      </c>
      <c r="AI5" t="s">
        <v>668</v>
      </c>
      <c r="AJ5" t="str">
        <v>dual purpose</v>
      </c>
      <c r="AK5" t="s">
        <v>3590</v>
      </c>
      <c r="AL5" t="s">
        <v>3594</v>
      </c>
      <c r="AM5" t="s">
        <v>671</v>
      </c>
      <c r="AN5" t="s">
        <v>644</v>
      </c>
      <c r="AO5" t="str">
        <v>Horizontally planted sticks</v>
      </c>
      <c r="AP5" t="s">
        <v>672</v>
      </c>
      <c r="AQ5" t="s">
        <v>673</v>
      </c>
      <c r="AR5" t="str">
        <v>Rows</v>
      </c>
      <c r="AS5" t="s">
        <v>3674</v>
      </c>
      <c r="AT5" t="s">
        <v>3680</v>
      </c>
      <c r="AU5" t="s">
        <v>3692</v>
      </c>
      <c r="AV5" t="s">
        <v>658</v>
      </c>
      <c r="AW5" t="str">
        <v>Grass clippings</v>
      </c>
      <c r="AX5" s="7" t="s">
        <v>674</v>
      </c>
      <c r="AY5" t="s">
        <v>675</v>
      </c>
      <c r="AZ5" t="str">
        <v>Constant flood depth, mm</v>
      </c>
      <c r="BA5" t="s">
        <v>3731</v>
      </c>
      <c r="BB5" t="s">
        <v>3758</v>
      </c>
      <c r="BC5" t="str">
        <v>Bark</v>
      </c>
      <c r="BD5" t="s">
        <v>676</v>
      </c>
      <c r="BE5" t="s">
        <v>677</v>
      </c>
      <c r="BF5" t="str">
        <v>28% UAN (30% urea + 40% A.N.)</v>
      </c>
      <c r="BG5" t="s">
        <v>678</v>
      </c>
      <c r="BH5" t="s">
        <v>679</v>
      </c>
      <c r="BI5" t="str">
        <v>Band on saturated soil,2cm flood, 92% in soil</v>
      </c>
      <c r="BJ5" t="s">
        <v>3713</v>
      </c>
      <c r="BK5" t="s">
        <v>3721</v>
      </c>
      <c r="BL5" t="str">
        <v>Iron</v>
      </c>
      <c r="BM5" t="s">
        <v>3470</v>
      </c>
      <c r="BN5" t="s">
        <v>3518</v>
      </c>
      <c r="BO5" t="str">
        <v>Alachlor (Lasso), Metolachlor (Dual) [Herbicide]</v>
      </c>
      <c r="BS5" t="s">
        <v>3568</v>
      </c>
      <c r="BT5" t="s">
        <v>3572</v>
      </c>
      <c r="BU5" s="7" t="s">
        <v>680</v>
      </c>
      <c r="BV5" t="s">
        <v>681</v>
      </c>
      <c r="BW5" t="str">
        <v>Fiber, e.g., cotton</v>
      </c>
      <c r="BX5" s="7" t="s">
        <v>682</v>
      </c>
      <c r="BY5" s="7" t="s">
        <v>683</v>
      </c>
      <c r="BZ5" s="7" t="str">
        <v>Hand cut, hand threshed</v>
      </c>
      <c r="CA5" t="s">
        <v>3583</v>
      </c>
      <c r="CB5" t="s">
        <v>3572</v>
      </c>
      <c r="CC5" t="s">
        <v>684</v>
      </c>
      <c r="CD5" t="s">
        <v>685</v>
      </c>
      <c r="CE5" t="s">
        <v>3570</v>
      </c>
      <c r="CF5" t="s">
        <v>3570</v>
      </c>
      <c r="CG5" s="37" t="s">
        <v>3625</v>
      </c>
      <c r="CH5" t="s">
        <v>3625</v>
      </c>
      <c r="CI5" t="str">
        <v>SA102</v>
      </c>
      <c r="CJ5" t="s">
        <v>3631</v>
      </c>
      <c r="CK5" t="s">
        <v>3646</v>
      </c>
      <c r="CL5" t="str">
        <v>Bray No. 2</v>
      </c>
      <c r="CM5" t="s">
        <v>3661</v>
      </c>
      <c r="CN5" t="s">
        <v>3664</v>
      </c>
      <c r="CO5" t="str">
        <v>Mehlich I (1:5)</v>
      </c>
    </row>
    <row r="6" spans="1:108" x14ac:dyDescent="0.2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1680</v>
      </c>
      <c r="AB6" t="s">
        <v>2523</v>
      </c>
      <c r="AC6" t="s">
        <v>2560</v>
      </c>
      <c r="AD6" t="str">
        <v>Chisel plow, sweeps</v>
      </c>
      <c r="AH6" s="7" t="s">
        <v>698</v>
      </c>
      <c r="AI6" t="s">
        <v>699</v>
      </c>
      <c r="AJ6" t="str">
        <v>grain</v>
      </c>
      <c r="AK6" t="s">
        <v>3591</v>
      </c>
      <c r="AL6" t="s">
        <v>3595</v>
      </c>
      <c r="AM6" t="s">
        <v>702</v>
      </c>
      <c r="AN6" t="s">
        <v>703</v>
      </c>
      <c r="AO6" t="str">
        <v>Inclined (45o) sticks</v>
      </c>
      <c r="AP6" t="s">
        <v>704</v>
      </c>
      <c r="AQ6" t="s">
        <v>705</v>
      </c>
      <c r="AR6" t="str">
        <v>Rows on beds</v>
      </c>
      <c r="AS6" t="s">
        <v>3675</v>
      </c>
      <c r="AT6" t="s">
        <v>3681</v>
      </c>
      <c r="AU6" t="s">
        <v>3693</v>
      </c>
      <c r="AV6" t="s">
        <v>689</v>
      </c>
      <c r="AW6" t="str">
        <v>Landscape fabric</v>
      </c>
      <c r="AX6" s="7" t="s">
        <v>706</v>
      </c>
      <c r="AY6" t="s">
        <v>707</v>
      </c>
      <c r="AZ6" t="str">
        <v>Drip or trickle, mm</v>
      </c>
      <c r="BA6" t="s">
        <v>3732</v>
      </c>
      <c r="BB6" t="s">
        <v>3759</v>
      </c>
      <c r="BC6" t="str">
        <v>Barley</v>
      </c>
      <c r="BD6" t="s">
        <v>708</v>
      </c>
      <c r="BE6" t="s">
        <v>709</v>
      </c>
      <c r="BF6" t="str">
        <v>30% UAN (33% urea + 42% A.N.)</v>
      </c>
      <c r="BG6" t="s">
        <v>710</v>
      </c>
      <c r="BH6" t="s">
        <v>711</v>
      </c>
      <c r="BI6" t="str">
        <v>Banded beneath surface</v>
      </c>
      <c r="BJ6" t="s">
        <v>3714</v>
      </c>
      <c r="BK6" t="s">
        <v>3722</v>
      </c>
      <c r="BL6" t="str">
        <v>Magnesium</v>
      </c>
      <c r="BM6" t="s">
        <v>3471</v>
      </c>
      <c r="BN6" t="s">
        <v>3519</v>
      </c>
      <c r="BO6" t="str">
        <v>Aldrin [Insecticide]</v>
      </c>
      <c r="BS6" t="s">
        <v>3569</v>
      </c>
      <c r="BT6" t="s">
        <v>48</v>
      </c>
      <c r="BU6" s="7" t="s">
        <v>712</v>
      </c>
      <c r="BV6" t="s">
        <v>713</v>
      </c>
      <c r="BW6" t="str">
        <v>Fruit</v>
      </c>
      <c r="BX6" s="7" t="s">
        <v>714</v>
      </c>
      <c r="BY6" s="7" t="s">
        <v>715</v>
      </c>
      <c r="BZ6" s="7" t="str">
        <v>Hand cut, machine threshed</v>
      </c>
      <c r="CA6" t="s">
        <v>3584</v>
      </c>
      <c r="CB6" t="s">
        <v>3585</v>
      </c>
      <c r="CC6" t="s">
        <v>716</v>
      </c>
      <c r="CD6" t="s">
        <v>717</v>
      </c>
      <c r="CE6" t="s">
        <v>3795</v>
      </c>
      <c r="CF6" t="s">
        <v>3795</v>
      </c>
      <c r="CG6" s="37" t="s">
        <v>3626</v>
      </c>
      <c r="CH6" t="s">
        <v>3626</v>
      </c>
      <c r="CI6" t="str">
        <v>SA103</v>
      </c>
      <c r="CJ6" t="s">
        <v>3632</v>
      </c>
      <c r="CK6" t="s">
        <v>3647</v>
      </c>
      <c r="CL6" t="str">
        <v>Colwell</v>
      </c>
      <c r="CM6" t="s">
        <v>3641</v>
      </c>
      <c r="CN6" t="s">
        <v>3665</v>
      </c>
      <c r="CO6" t="str">
        <v>Method unknown/not given</v>
      </c>
    </row>
    <row r="7" spans="1:108" x14ac:dyDescent="0.2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1681</v>
      </c>
      <c r="AB7" t="s">
        <v>2524</v>
      </c>
      <c r="AC7" t="s">
        <v>2561</v>
      </c>
      <c r="AD7" t="str">
        <v>Chisel plow, twisted shovels</v>
      </c>
      <c r="AH7" s="7" t="s">
        <v>726</v>
      </c>
      <c r="AI7" t="s">
        <v>727</v>
      </c>
      <c r="AJ7" t="str">
        <v>green manure</v>
      </c>
      <c r="AM7" t="s">
        <v>730</v>
      </c>
      <c r="AN7" t="s">
        <v>48</v>
      </c>
      <c r="AO7" t="str">
        <v>Nursery</v>
      </c>
      <c r="AP7" t="s">
        <v>731</v>
      </c>
      <c r="AQ7" t="s">
        <v>644</v>
      </c>
      <c r="AR7" t="str">
        <v>Uniform/Broadcast</v>
      </c>
      <c r="AS7" t="s">
        <v>3676</v>
      </c>
      <c r="AT7" t="s">
        <v>3682</v>
      </c>
      <c r="AU7" t="s">
        <v>3694</v>
      </c>
      <c r="AV7" t="s">
        <v>3701</v>
      </c>
      <c r="AW7" t="str">
        <v>Not given/unknown</v>
      </c>
      <c r="AX7" s="7" t="s">
        <v>732</v>
      </c>
      <c r="AY7" t="s">
        <v>733</v>
      </c>
      <c r="AZ7" t="str">
        <v>Flood depth, mm</v>
      </c>
      <c r="BA7" t="s">
        <v>3733</v>
      </c>
      <c r="BB7" t="s">
        <v>3760</v>
      </c>
      <c r="BC7" t="str">
        <v>Barnyard manure</v>
      </c>
      <c r="BD7" t="s">
        <v>734</v>
      </c>
      <c r="BE7" t="s">
        <v>735</v>
      </c>
      <c r="BF7" t="str">
        <v>32% UAN (35% urea + 45% A.N.)</v>
      </c>
      <c r="BG7" t="s">
        <v>736</v>
      </c>
      <c r="BH7" t="s">
        <v>737</v>
      </c>
      <c r="BI7" t="str">
        <v>Banded on surface</v>
      </c>
      <c r="BJ7" t="s">
        <v>3715</v>
      </c>
      <c r="BK7" t="s">
        <v>605</v>
      </c>
      <c r="BL7" t="str">
        <v>Manganese</v>
      </c>
      <c r="BM7" t="s">
        <v>3472</v>
      </c>
      <c r="BN7" t="s">
        <v>3520</v>
      </c>
      <c r="BO7" t="str">
        <v>Atrazine [Herbicide]</v>
      </c>
      <c r="BU7" s="7" t="s">
        <v>738</v>
      </c>
      <c r="BV7" t="s">
        <v>739</v>
      </c>
      <c r="BW7" t="str">
        <v>Grain, legume seeds</v>
      </c>
      <c r="BX7" s="7" t="s">
        <v>740</v>
      </c>
      <c r="BY7" s="7" t="s">
        <v>741</v>
      </c>
      <c r="BZ7" s="7" t="str">
        <v>Hand picked, machine processing</v>
      </c>
      <c r="CC7" t="s">
        <v>742</v>
      </c>
      <c r="CD7" t="s">
        <v>743</v>
      </c>
      <c r="CE7" t="s">
        <v>3571</v>
      </c>
      <c r="CF7" t="s">
        <v>3571</v>
      </c>
      <c r="CG7" s="37" t="s">
        <v>3627</v>
      </c>
      <c r="CH7" t="s">
        <v>3627</v>
      </c>
      <c r="CI7" t="str">
        <v>SA104</v>
      </c>
      <c r="CJ7" t="s">
        <v>3633</v>
      </c>
      <c r="CK7" t="s">
        <v>3648</v>
      </c>
      <c r="CL7" t="str">
        <v>IFDC Pi strip</v>
      </c>
      <c r="CM7" t="s">
        <v>788</v>
      </c>
      <c r="CN7" t="s">
        <v>3666</v>
      </c>
      <c r="CO7" t="str">
        <v>NH4OAc</v>
      </c>
    </row>
    <row r="8" spans="1:108" x14ac:dyDescent="0.2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1682</v>
      </c>
      <c r="AB8" t="s">
        <v>2525</v>
      </c>
      <c r="AC8" t="s">
        <v>2562</v>
      </c>
      <c r="AD8" t="str">
        <v>Cultivator, field</v>
      </c>
      <c r="AH8" s="7" t="s">
        <v>681</v>
      </c>
      <c r="AI8" t="s">
        <v>752</v>
      </c>
      <c r="AJ8" t="str">
        <v>other</v>
      </c>
      <c r="AM8" t="s">
        <v>755</v>
      </c>
      <c r="AN8" t="s">
        <v>756</v>
      </c>
      <c r="AO8" t="str">
        <v>Pregerminated seed</v>
      </c>
      <c r="AP8" t="s">
        <v>757</v>
      </c>
      <c r="AQ8" t="s">
        <v>703</v>
      </c>
      <c r="AR8" t="str">
        <v>Unknown/not given</v>
      </c>
      <c r="AS8" t="s">
        <v>3677</v>
      </c>
      <c r="AT8" t="s">
        <v>3683</v>
      </c>
      <c r="AU8" t="s">
        <v>3695</v>
      </c>
      <c r="AV8" t="s">
        <v>3702</v>
      </c>
      <c r="AW8" t="str">
        <v>Paper</v>
      </c>
      <c r="AX8" s="7" t="s">
        <v>758</v>
      </c>
      <c r="AY8" t="s">
        <v>759</v>
      </c>
      <c r="AZ8" t="str">
        <v>Flood, mm</v>
      </c>
      <c r="BA8" t="s">
        <v>3734</v>
      </c>
      <c r="BB8" t="s">
        <v>3761</v>
      </c>
      <c r="BC8" t="str">
        <v>Bermudagrass</v>
      </c>
      <c r="BD8" t="s">
        <v>760</v>
      </c>
      <c r="BE8" t="s">
        <v>761</v>
      </c>
      <c r="BF8" t="str">
        <v>Aluminum sulfate</v>
      </c>
      <c r="BG8" t="s">
        <v>762</v>
      </c>
      <c r="BH8" t="s">
        <v>763</v>
      </c>
      <c r="BI8" t="str">
        <v>Bottom of hole</v>
      </c>
      <c r="BJ8" t="s">
        <v>3716</v>
      </c>
      <c r="BK8" t="s">
        <v>3723</v>
      </c>
      <c r="BL8" t="str">
        <v>Selenium</v>
      </c>
      <c r="BM8" t="s">
        <v>3473</v>
      </c>
      <c r="BN8" t="s">
        <v>3521</v>
      </c>
      <c r="BO8" t="str">
        <v>Azinphos-Methyl [Insecticide]</v>
      </c>
      <c r="BU8" s="7" t="s">
        <v>764</v>
      </c>
      <c r="BV8" t="s">
        <v>765</v>
      </c>
      <c r="BW8" t="str">
        <v>Leaves</v>
      </c>
      <c r="BX8" s="7" t="s">
        <v>766</v>
      </c>
      <c r="BY8" s="7" t="s">
        <v>767</v>
      </c>
      <c r="BZ8" s="7" t="str">
        <v>Hand picked, no further processing</v>
      </c>
      <c r="CC8" t="s">
        <v>768</v>
      </c>
      <c r="CD8" t="s">
        <v>769</v>
      </c>
      <c r="CE8" t="s">
        <v>814</v>
      </c>
      <c r="CF8" t="s">
        <v>814</v>
      </c>
      <c r="CG8" t="s">
        <v>788</v>
      </c>
      <c r="CH8" t="s">
        <v>3628</v>
      </c>
      <c r="CI8" t="str">
        <v>SA105</v>
      </c>
      <c r="CJ8" t="s">
        <v>3634</v>
      </c>
      <c r="CK8" t="s">
        <v>3649</v>
      </c>
      <c r="CL8" t="str">
        <v>Mehlich 3</v>
      </c>
    </row>
    <row r="9" spans="1:108" x14ac:dyDescent="0.2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1683</v>
      </c>
      <c r="AB9" t="s">
        <v>2526</v>
      </c>
      <c r="AC9" t="s">
        <v>2563</v>
      </c>
      <c r="AD9" t="str">
        <v>Cultivator, ridge till</v>
      </c>
      <c r="AH9" s="7" t="s">
        <v>713</v>
      </c>
      <c r="AI9" t="s">
        <v>776</v>
      </c>
      <c r="AJ9" t="str">
        <v>propagation of seed or vegetative material</v>
      </c>
      <c r="AM9" t="s">
        <v>779</v>
      </c>
      <c r="AN9" t="s">
        <v>640</v>
      </c>
      <c r="AO9" t="str">
        <v>Ratoon</v>
      </c>
      <c r="AU9" t="s">
        <v>3696</v>
      </c>
      <c r="AV9" t="s">
        <v>3703</v>
      </c>
      <c r="AW9" t="str">
        <v>Photodegradable plastic</v>
      </c>
      <c r="AX9" s="7" t="s">
        <v>780</v>
      </c>
      <c r="AY9" t="s">
        <v>781</v>
      </c>
      <c r="AZ9" t="str">
        <v>Furrow, mm</v>
      </c>
      <c r="BA9" t="s">
        <v>3735</v>
      </c>
      <c r="BB9" t="s">
        <v>3762</v>
      </c>
      <c r="BC9" t="str">
        <v>brachiaria</v>
      </c>
      <c r="BD9" t="s">
        <v>782</v>
      </c>
      <c r="BE9" t="s">
        <v>783</v>
      </c>
      <c r="BF9" t="str">
        <v>Ammoniated zinc</v>
      </c>
      <c r="BG9" t="s">
        <v>784</v>
      </c>
      <c r="BH9" t="s">
        <v>785</v>
      </c>
      <c r="BI9" t="str">
        <v>Broadcast on flooded/saturated soil, 15% in soil</v>
      </c>
      <c r="BJ9" t="s">
        <v>3717</v>
      </c>
      <c r="BK9" t="s">
        <v>3724</v>
      </c>
      <c r="BL9" t="str">
        <v>Sulfur</v>
      </c>
      <c r="BM9" t="s">
        <v>3474</v>
      </c>
      <c r="BN9" t="s">
        <v>3522</v>
      </c>
      <c r="BO9" t="str">
        <v>Benomyl [Fungicide]</v>
      </c>
      <c r="BU9" s="7" t="s">
        <v>786</v>
      </c>
      <c r="BV9" t="s">
        <v>787</v>
      </c>
      <c r="BW9" t="str">
        <v>Silage</v>
      </c>
      <c r="BX9" s="7" t="s">
        <v>788</v>
      </c>
      <c r="BY9" s="7" t="s">
        <v>789</v>
      </c>
      <c r="BZ9" s="7" t="str">
        <v>Method unknown/not given</v>
      </c>
      <c r="CC9" t="s">
        <v>790</v>
      </c>
      <c r="CD9" t="s">
        <v>791</v>
      </c>
      <c r="CE9" t="s">
        <v>48</v>
      </c>
      <c r="CF9" t="s">
        <v>48</v>
      </c>
      <c r="CJ9" t="s">
        <v>3635</v>
      </c>
      <c r="CK9" t="s">
        <v>3650</v>
      </c>
      <c r="CL9" t="str">
        <v>Mehlich I (double acid, 1:10)</v>
      </c>
    </row>
    <row r="10" spans="1:108" x14ac:dyDescent="0.25">
      <c r="J10" t="s">
        <v>792</v>
      </c>
      <c r="K10" s="7" t="s">
        <v>793</v>
      </c>
      <c r="L10" s="7" t="str">
        <v>University, main campus</v>
      </c>
      <c r="P10" t="s">
        <v>794</v>
      </c>
      <c r="Q10" t="s">
        <v>795</v>
      </c>
      <c r="R10" t="str">
        <v>Asparagus</v>
      </c>
      <c r="S10" t="s">
        <v>798</v>
      </c>
      <c r="T10" t="s">
        <v>799</v>
      </c>
      <c r="U10" t="str">
        <v>Fine loamy sand</v>
      </c>
      <c r="V10" t="s">
        <v>1684</v>
      </c>
      <c r="AB10" t="s">
        <v>2527</v>
      </c>
      <c r="AC10" t="s">
        <v>2564</v>
      </c>
      <c r="AD10" t="str">
        <v>Cultivator, row</v>
      </c>
      <c r="AH10" s="7" t="s">
        <v>796</v>
      </c>
      <c r="AI10" t="s">
        <v>797</v>
      </c>
      <c r="AJ10" t="str">
        <v>silage</v>
      </c>
      <c r="AM10" t="s">
        <v>800</v>
      </c>
      <c r="AN10" t="s">
        <v>50</v>
      </c>
      <c r="AO10" t="str">
        <v>Transplants</v>
      </c>
      <c r="AU10" t="s">
        <v>3697</v>
      </c>
      <c r="AV10" t="s">
        <v>3704</v>
      </c>
      <c r="AW10" t="str">
        <v>Pine needles</v>
      </c>
      <c r="AX10" s="7" t="s">
        <v>801</v>
      </c>
      <c r="AY10" t="s">
        <v>802</v>
      </c>
      <c r="AZ10" t="str">
        <v>Irrigation method unknown/not given</v>
      </c>
      <c r="BA10" t="s">
        <v>3736</v>
      </c>
      <c r="BB10" t="s">
        <v>3763</v>
      </c>
      <c r="BC10" t="str">
        <v>Bush fallow residue</v>
      </c>
      <c r="BD10" t="s">
        <v>803</v>
      </c>
      <c r="BE10" t="s">
        <v>804</v>
      </c>
      <c r="BF10" t="str">
        <v>Ammonionated super phosphate</v>
      </c>
      <c r="BG10" t="s">
        <v>805</v>
      </c>
      <c r="BH10" t="s">
        <v>806</v>
      </c>
      <c r="BI10" t="str">
        <v>Broadcast on flooded/saturated soil, 30% in soil</v>
      </c>
      <c r="BJ10" t="s">
        <v>3718</v>
      </c>
      <c r="BK10" t="s">
        <v>3571</v>
      </c>
      <c r="BL10" t="str">
        <v>Zinc</v>
      </c>
      <c r="BM10" t="s">
        <v>3475</v>
      </c>
      <c r="BN10" t="s">
        <v>3523</v>
      </c>
      <c r="BO10" t="str">
        <v>BHC, HCH [Insecticide]</v>
      </c>
      <c r="BU10" s="7" t="s">
        <v>807</v>
      </c>
      <c r="BV10" t="s">
        <v>808</v>
      </c>
      <c r="BW10" t="str">
        <v>Stem</v>
      </c>
      <c r="CJ10" t="s">
        <v>3636</v>
      </c>
      <c r="CK10" t="s">
        <v>3651</v>
      </c>
      <c r="CL10" t="str">
        <v>Mehlich I (double acid, 1:5)</v>
      </c>
    </row>
    <row r="11" spans="1:108" x14ac:dyDescent="0.25">
      <c r="P11" t="s">
        <v>809</v>
      </c>
      <c r="Q11" t="s">
        <v>810</v>
      </c>
      <c r="R11" t="str">
        <v>Avocado</v>
      </c>
      <c r="S11" t="s">
        <v>811</v>
      </c>
      <c r="T11" t="s">
        <v>812</v>
      </c>
      <c r="U11" t="str">
        <v>Fine sand</v>
      </c>
      <c r="V11" t="s">
        <v>1685</v>
      </c>
      <c r="AB11" t="s">
        <v>2528</v>
      </c>
      <c r="AC11" t="s">
        <v>2565</v>
      </c>
      <c r="AD11" t="str">
        <v>Disk plow</v>
      </c>
      <c r="AM11" t="s">
        <v>813</v>
      </c>
      <c r="AN11" t="s">
        <v>814</v>
      </c>
      <c r="AO11" t="str">
        <v>Vertically planted sticks</v>
      </c>
      <c r="AU11" t="s">
        <v>3698</v>
      </c>
      <c r="AV11" t="s">
        <v>3705</v>
      </c>
      <c r="AW11" t="str">
        <v>Polyethylene sheet - perforated</v>
      </c>
      <c r="AX11" s="7" t="s">
        <v>815</v>
      </c>
      <c r="AY11" t="s">
        <v>816</v>
      </c>
      <c r="AZ11" t="str">
        <v>Percolation rate, mm day-1</v>
      </c>
      <c r="BA11" t="s">
        <v>3737</v>
      </c>
      <c r="BB11" t="s">
        <v>3764</v>
      </c>
      <c r="BC11" t="str">
        <v>Chickpea forage</v>
      </c>
      <c r="BD11" t="s">
        <v>817</v>
      </c>
      <c r="BE11" t="s">
        <v>818</v>
      </c>
      <c r="BF11" t="str">
        <v>Ammonium metaphosphate</v>
      </c>
      <c r="BG11" t="s">
        <v>819</v>
      </c>
      <c r="BH11" t="s">
        <v>820</v>
      </c>
      <c r="BI11" t="str">
        <v>Broadcast on flooded/saturated soil, 45% in soil</v>
      </c>
      <c r="BM11" t="s">
        <v>3476</v>
      </c>
      <c r="BN11" t="s">
        <v>3524</v>
      </c>
      <c r="BO11" t="str">
        <v>Captan [Fungicide]</v>
      </c>
      <c r="BU11" s="7" t="s">
        <v>821</v>
      </c>
      <c r="BV11" t="s">
        <v>822</v>
      </c>
      <c r="BW11" t="str">
        <v>Underground storage components (e.g., tubers, roots, corms, rhyzomes, etc.)</v>
      </c>
      <c r="CJ11" t="s">
        <v>3637</v>
      </c>
      <c r="CK11" t="s">
        <v>3652</v>
      </c>
      <c r="CL11" t="str">
        <v>Method unknown/not given</v>
      </c>
    </row>
    <row r="12" spans="1:108" x14ac:dyDescent="0.25">
      <c r="P12" t="s">
        <v>823</v>
      </c>
      <c r="Q12" t="s">
        <v>824</v>
      </c>
      <c r="R12" t="str">
        <v>Bahia grass</v>
      </c>
      <c r="S12" t="s">
        <v>825</v>
      </c>
      <c r="T12" t="s">
        <v>826</v>
      </c>
      <c r="U12" t="str">
        <v>Fine sandy loam</v>
      </c>
      <c r="V12" t="s">
        <v>1686</v>
      </c>
      <c r="AB12" t="s">
        <v>2529</v>
      </c>
      <c r="AC12" t="s">
        <v>2566</v>
      </c>
      <c r="AD12" t="str">
        <v>Disk, 1-way</v>
      </c>
      <c r="AU12" t="s">
        <v>3699</v>
      </c>
      <c r="AV12" t="s">
        <v>3706</v>
      </c>
      <c r="AW12" t="str">
        <v>Polyethylene sheet - solid</v>
      </c>
      <c r="AX12" s="7" t="s">
        <v>827</v>
      </c>
      <c r="AY12" t="s">
        <v>828</v>
      </c>
      <c r="AZ12" t="str">
        <v>Puddling (for Rice only)</v>
      </c>
      <c r="BA12" t="s">
        <v>3738</v>
      </c>
      <c r="BB12" t="s">
        <v>3765</v>
      </c>
      <c r="BC12" t="str">
        <v>Compost</v>
      </c>
      <c r="BD12" t="s">
        <v>829</v>
      </c>
      <c r="BE12" t="s">
        <v>830</v>
      </c>
      <c r="BF12" t="str">
        <v>Ammonium nitrate</v>
      </c>
      <c r="BG12" t="s">
        <v>831</v>
      </c>
      <c r="BH12" t="s">
        <v>832</v>
      </c>
      <c r="BI12" t="str">
        <v>Broadcast on flooded/saturated soil, 60% in soil</v>
      </c>
      <c r="BM12" t="s">
        <v>3477</v>
      </c>
      <c r="BN12" t="s">
        <v>3525</v>
      </c>
      <c r="BO12" t="str">
        <v>Carbaryl, Sevin, Septene [Insecticide]</v>
      </c>
      <c r="CJ12" t="s">
        <v>3638</v>
      </c>
      <c r="CK12" t="s">
        <v>3653</v>
      </c>
      <c r="CL12" t="str">
        <v>Morgan's solution</v>
      </c>
    </row>
    <row r="13" spans="1:108" x14ac:dyDescent="0.25">
      <c r="P13" t="s">
        <v>833</v>
      </c>
      <c r="Q13" t="s">
        <v>834</v>
      </c>
      <c r="R13" t="str">
        <v>Bambara groundnut</v>
      </c>
      <c r="S13" t="s">
        <v>835</v>
      </c>
      <c r="T13" t="s">
        <v>836</v>
      </c>
      <c r="U13" t="str">
        <v>Loam</v>
      </c>
      <c r="V13" t="s">
        <v>1687</v>
      </c>
      <c r="AB13" t="s">
        <v>2530</v>
      </c>
      <c r="AC13" t="s">
        <v>2567</v>
      </c>
      <c r="AD13" t="str">
        <v>Disk, double disk</v>
      </c>
      <c r="AU13" t="s">
        <v>3700</v>
      </c>
      <c r="AV13" t="s">
        <v>3707</v>
      </c>
      <c r="AW13" t="str">
        <v>Straw</v>
      </c>
      <c r="AX13" s="7" t="s">
        <v>837</v>
      </c>
      <c r="AY13" t="s">
        <v>838</v>
      </c>
      <c r="AZ13" t="str">
        <v>Sprinkler, mm</v>
      </c>
      <c r="BA13" t="s">
        <v>3739</v>
      </c>
      <c r="BB13" t="s">
        <v>3766</v>
      </c>
      <c r="BC13" t="str">
        <v>Cowpea residue</v>
      </c>
      <c r="BD13" t="s">
        <v>839</v>
      </c>
      <c r="BE13" t="s">
        <v>840</v>
      </c>
      <c r="BF13" t="str">
        <v>Ammonium nitrate limestone</v>
      </c>
      <c r="BG13" t="s">
        <v>841</v>
      </c>
      <c r="BH13" t="s">
        <v>842</v>
      </c>
      <c r="BI13" t="str">
        <v>Broadcast on flooded/saturated soil, 75% in soil</v>
      </c>
      <c r="BM13" t="s">
        <v>3478</v>
      </c>
      <c r="BN13" t="s">
        <v>3526</v>
      </c>
      <c r="BO13" t="str">
        <v>Chlordane [Insecticide]</v>
      </c>
      <c r="CJ13" t="s">
        <v>3639</v>
      </c>
      <c r="CK13" t="s">
        <v>3654</v>
      </c>
      <c r="CL13" t="str">
        <v>NH4OAc</v>
      </c>
    </row>
    <row r="14" spans="1:108" x14ac:dyDescent="0.25">
      <c r="P14" t="s">
        <v>843</v>
      </c>
      <c r="Q14" t="s">
        <v>844</v>
      </c>
      <c r="R14" t="str">
        <v>Banana</v>
      </c>
      <c r="S14" t="s">
        <v>845</v>
      </c>
      <c r="T14" t="s">
        <v>846</v>
      </c>
      <c r="U14" t="str">
        <v>Loamy sand</v>
      </c>
      <c r="V14" t="s">
        <v>1688</v>
      </c>
      <c r="AB14" t="s">
        <v>2531</v>
      </c>
      <c r="AC14" t="s">
        <v>2568</v>
      </c>
      <c r="AD14" t="str">
        <v>Disk, tandem</v>
      </c>
      <c r="AX14" s="7" t="s">
        <v>847</v>
      </c>
      <c r="AY14" t="s">
        <v>848</v>
      </c>
      <c r="AZ14" t="str">
        <v>Subsurface (burried) drip, mm</v>
      </c>
      <c r="BA14" t="s">
        <v>3740</v>
      </c>
      <c r="BB14" t="s">
        <v>3767</v>
      </c>
      <c r="BC14" t="str">
        <v>Decomposed crop residue</v>
      </c>
      <c r="BD14" t="s">
        <v>849</v>
      </c>
      <c r="BE14" t="s">
        <v>850</v>
      </c>
      <c r="BF14" t="str">
        <v>Ammonium nitrate sulfate</v>
      </c>
      <c r="BG14" t="s">
        <v>851</v>
      </c>
      <c r="BH14" t="s">
        <v>852</v>
      </c>
      <c r="BI14" t="str">
        <v>Broadcast on flooded/saturated soil, 90% in soil</v>
      </c>
      <c r="BM14" t="s">
        <v>3479</v>
      </c>
      <c r="BN14" t="s">
        <v>3527</v>
      </c>
      <c r="BO14" t="str">
        <v>Coragen / Chlorantraniliprole</v>
      </c>
      <c r="CJ14" t="s">
        <v>3640</v>
      </c>
      <c r="CK14" t="s">
        <v>3655</v>
      </c>
      <c r="CL14" t="str">
        <v>Olsen</v>
      </c>
    </row>
    <row r="15" spans="1:108" x14ac:dyDescent="0.25">
      <c r="P15" t="s">
        <v>853</v>
      </c>
      <c r="Q15" t="s">
        <v>854</v>
      </c>
      <c r="R15" t="str">
        <v>Barley</v>
      </c>
      <c r="S15" t="s">
        <v>855</v>
      </c>
      <c r="T15" t="s">
        <v>856</v>
      </c>
      <c r="U15" t="str">
        <v>Sand</v>
      </c>
      <c r="V15" t="s">
        <v>1689</v>
      </c>
      <c r="AB15" t="s">
        <v>2532</v>
      </c>
      <c r="AC15" t="s">
        <v>2569</v>
      </c>
      <c r="AD15" t="str">
        <v>Drill, deep furrow</v>
      </c>
      <c r="AX15" s="7" t="s">
        <v>857</v>
      </c>
      <c r="AY15" t="s">
        <v>858</v>
      </c>
      <c r="AZ15" t="str">
        <v>Water table depth, mm</v>
      </c>
      <c r="BA15" t="s">
        <v>3741</v>
      </c>
      <c r="BB15" t="s">
        <v>3768</v>
      </c>
      <c r="BC15" t="str">
        <v>Faba bean</v>
      </c>
      <c r="BD15" t="s">
        <v>859</v>
      </c>
      <c r="BE15" t="s">
        <v>860</v>
      </c>
      <c r="BF15" t="str">
        <v>Ammonium phosphate</v>
      </c>
      <c r="BG15" t="s">
        <v>861</v>
      </c>
      <c r="BH15" t="s">
        <v>862</v>
      </c>
      <c r="BI15" t="str">
        <v>Broadcast on flooded/saturated soil, none in soil</v>
      </c>
      <c r="BM15" t="s">
        <v>3480</v>
      </c>
      <c r="BN15" t="s">
        <v>3528</v>
      </c>
      <c r="BO15" t="str">
        <v>Dalapon [Herbicide]</v>
      </c>
      <c r="CJ15" t="s">
        <v>3641</v>
      </c>
      <c r="CK15" t="s">
        <v>3656</v>
      </c>
      <c r="CL15" t="str">
        <v>pH in KCl</v>
      </c>
    </row>
    <row r="16" spans="1:108" x14ac:dyDescent="0.25">
      <c r="P16" t="s">
        <v>863</v>
      </c>
      <c r="Q16" t="s">
        <v>864</v>
      </c>
      <c r="R16" t="str">
        <v>Bell pepper</v>
      </c>
      <c r="S16" t="s">
        <v>865</v>
      </c>
      <c r="T16" t="s">
        <v>326</v>
      </c>
      <c r="U16" t="str">
        <v>Sandy clay</v>
      </c>
      <c r="V16" t="s">
        <v>1690</v>
      </c>
      <c r="AB16" t="s">
        <v>2533</v>
      </c>
      <c r="AC16" t="s">
        <v>2570</v>
      </c>
      <c r="AD16" t="str">
        <v>Drill, double-disk</v>
      </c>
      <c r="BA16" t="s">
        <v>3742</v>
      </c>
      <c r="BB16" t="s">
        <v>3769</v>
      </c>
      <c r="BC16" t="str">
        <v>forage grasses</v>
      </c>
      <c r="BD16" t="s">
        <v>866</v>
      </c>
      <c r="BE16" t="s">
        <v>867</v>
      </c>
      <c r="BF16" t="str">
        <v>Ammonium phosphate nitrate</v>
      </c>
      <c r="BG16" t="s">
        <v>868</v>
      </c>
      <c r="BH16" t="s">
        <v>869</v>
      </c>
      <c r="BI16" t="str">
        <v>Broadcast, incorporated</v>
      </c>
      <c r="BM16" t="s">
        <v>3481</v>
      </c>
      <c r="BN16" t="s">
        <v>3529</v>
      </c>
      <c r="BO16" t="str">
        <v>DDT [Insecticide]</v>
      </c>
      <c r="CJ16" t="s">
        <v>3642</v>
      </c>
      <c r="CK16" t="s">
        <v>3657</v>
      </c>
      <c r="CL16" t="str">
        <v>pH in Water</v>
      </c>
    </row>
    <row r="17" spans="16:90" x14ac:dyDescent="0.25">
      <c r="P17" t="s">
        <v>870</v>
      </c>
      <c r="Q17" t="s">
        <v>871</v>
      </c>
      <c r="R17" t="str">
        <v>Bermudagrass</v>
      </c>
      <c r="S17" t="s">
        <v>872</v>
      </c>
      <c r="T17" t="s">
        <v>873</v>
      </c>
      <c r="U17" t="str">
        <v>Sandy clay loam</v>
      </c>
      <c r="V17" t="s">
        <v>1691</v>
      </c>
      <c r="AB17" t="s">
        <v>2534</v>
      </c>
      <c r="AC17" t="s">
        <v>2571</v>
      </c>
      <c r="AD17" t="str">
        <v>Drill, no-till</v>
      </c>
      <c r="BA17" t="s">
        <v>1047</v>
      </c>
      <c r="BB17" t="s">
        <v>3770</v>
      </c>
      <c r="BC17" t="str">
        <v>Generic cereal crop residue</v>
      </c>
      <c r="BD17" t="s">
        <v>874</v>
      </c>
      <c r="BE17" t="s">
        <v>875</v>
      </c>
      <c r="BF17" t="str">
        <v>Ammonium phosphate sulfate</v>
      </c>
      <c r="BG17" t="s">
        <v>876</v>
      </c>
      <c r="BH17" t="s">
        <v>877</v>
      </c>
      <c r="BI17" t="str">
        <v>Broadcast, not incorporated</v>
      </c>
      <c r="BM17" t="s">
        <v>3482</v>
      </c>
      <c r="BN17" t="s">
        <v>3530</v>
      </c>
      <c r="BO17" t="str">
        <v>Diazinon, Basudin [Insecticide]</v>
      </c>
      <c r="CJ17" t="s">
        <v>3643</v>
      </c>
      <c r="CK17" t="s">
        <v>3658</v>
      </c>
      <c r="CL17" t="str">
        <v>Truog</v>
      </c>
    </row>
    <row r="18" spans="16:90" x14ac:dyDescent="0.25">
      <c r="P18" t="s">
        <v>878</v>
      </c>
      <c r="Q18" t="s">
        <v>879</v>
      </c>
      <c r="R18" t="str">
        <v>Bitter gourd</v>
      </c>
      <c r="S18" t="s">
        <v>880</v>
      </c>
      <c r="T18" t="s">
        <v>881</v>
      </c>
      <c r="U18" t="str">
        <v>Sandy loam</v>
      </c>
      <c r="V18" t="s">
        <v>1692</v>
      </c>
      <c r="AB18" t="s">
        <v>2535</v>
      </c>
      <c r="AC18" t="s">
        <v>2572</v>
      </c>
      <c r="AD18" t="str">
        <v>Drill, no-till; into sod</v>
      </c>
      <c r="BA18" t="s">
        <v>3743</v>
      </c>
      <c r="BB18" t="s">
        <v>3771</v>
      </c>
      <c r="BC18" t="str">
        <v>Generic crop residue</v>
      </c>
      <c r="BD18" t="s">
        <v>882</v>
      </c>
      <c r="BE18" t="s">
        <v>883</v>
      </c>
      <c r="BF18" t="str">
        <v>Ammonium poly-phosphate</v>
      </c>
      <c r="BG18" t="s">
        <v>884</v>
      </c>
      <c r="BH18" t="s">
        <v>885</v>
      </c>
      <c r="BI18" t="str">
        <v>Deeply placed urea super granules/pellets, 100% in soil</v>
      </c>
      <c r="BM18" t="s">
        <v>3483</v>
      </c>
      <c r="BN18" t="s">
        <v>3531</v>
      </c>
      <c r="BO18" t="str">
        <v>Dieldrin [Insecticide]</v>
      </c>
      <c r="CJ18" t="s">
        <v>788</v>
      </c>
      <c r="CK18" t="s">
        <v>3659</v>
      </c>
      <c r="CL18" t="str">
        <v>Water</v>
      </c>
    </row>
    <row r="19" spans="16:90" x14ac:dyDescent="0.25">
      <c r="P19" t="s">
        <v>886</v>
      </c>
      <c r="Q19" t="s">
        <v>887</v>
      </c>
      <c r="R19" t="str">
        <v>Black gram</v>
      </c>
      <c r="S19" t="s">
        <v>888</v>
      </c>
      <c r="T19" t="s">
        <v>776</v>
      </c>
      <c r="U19" t="str">
        <v>Silt</v>
      </c>
      <c r="V19" t="s">
        <v>1693</v>
      </c>
      <c r="AB19" t="s">
        <v>2536</v>
      </c>
      <c r="AC19" t="s">
        <v>2573</v>
      </c>
      <c r="AD19" t="str">
        <v>Fertilizer applicator, anhydr</v>
      </c>
      <c r="BA19" t="s">
        <v>1115</v>
      </c>
      <c r="BB19" t="s">
        <v>3772</v>
      </c>
      <c r="BC19" t="str">
        <v>Generic grass</v>
      </c>
      <c r="BD19" t="s">
        <v>889</v>
      </c>
      <c r="BE19" t="s">
        <v>890</v>
      </c>
      <c r="BF19" t="str">
        <v>Ammonium polysulfide</v>
      </c>
      <c r="BG19" t="s">
        <v>891</v>
      </c>
      <c r="BH19" t="s">
        <v>892</v>
      </c>
      <c r="BI19" t="str">
        <v>Deeply placed urea super granules/pellets, 95% in soil</v>
      </c>
      <c r="BM19" t="s">
        <v>3484</v>
      </c>
      <c r="BN19" t="s">
        <v>3532</v>
      </c>
      <c r="BO19" t="str">
        <v>Dimethoate [Insecticide]</v>
      </c>
    </row>
    <row r="20" spans="16:90" x14ac:dyDescent="0.25">
      <c r="P20" t="s">
        <v>893</v>
      </c>
      <c r="Q20" t="s">
        <v>894</v>
      </c>
      <c r="R20" t="str">
        <v>Black walnut</v>
      </c>
      <c r="S20" t="s">
        <v>895</v>
      </c>
      <c r="T20" t="s">
        <v>896</v>
      </c>
      <c r="U20" t="str">
        <v>Silty clay</v>
      </c>
      <c r="V20" t="s">
        <v>1694</v>
      </c>
      <c r="AB20" t="s">
        <v>2537</v>
      </c>
      <c r="AC20" t="s">
        <v>2574</v>
      </c>
      <c r="AD20" t="str">
        <v>Harrow, spike</v>
      </c>
      <c r="BA20" t="s">
        <v>3744</v>
      </c>
      <c r="BB20" t="s">
        <v>3773</v>
      </c>
      <c r="BC20" t="str">
        <v>Generic legume residue</v>
      </c>
      <c r="BD20" t="s">
        <v>897</v>
      </c>
      <c r="BE20" t="s">
        <v>898</v>
      </c>
      <c r="BF20" t="str">
        <v>Ammonium sulfate</v>
      </c>
      <c r="BG20" t="s">
        <v>899</v>
      </c>
      <c r="BH20" t="s">
        <v>900</v>
      </c>
      <c r="BI20" t="str">
        <v>Foliar spray</v>
      </c>
      <c r="BM20" t="s">
        <v>3485</v>
      </c>
      <c r="BN20" t="s">
        <v>3533</v>
      </c>
      <c r="BO20" t="str">
        <v>Diquat [Herbicide]</v>
      </c>
    </row>
    <row r="21" spans="16:90" x14ac:dyDescent="0.25">
      <c r="P21" t="s">
        <v>901</v>
      </c>
      <c r="Q21" t="s">
        <v>902</v>
      </c>
      <c r="R21" t="str">
        <v>Blueberry</v>
      </c>
      <c r="S21" t="s">
        <v>903</v>
      </c>
      <c r="T21" t="s">
        <v>904</v>
      </c>
      <c r="U21" t="str">
        <v>Silty clay loam</v>
      </c>
      <c r="V21" t="s">
        <v>1695</v>
      </c>
      <c r="AB21" t="s">
        <v>2538</v>
      </c>
      <c r="AC21" t="s">
        <v>2575</v>
      </c>
      <c r="AD21" t="str">
        <v>Harrow, tine</v>
      </c>
      <c r="BA21" t="s">
        <v>3745</v>
      </c>
      <c r="BB21" t="s">
        <v>3774</v>
      </c>
      <c r="BC21" t="str">
        <v>Green manure</v>
      </c>
      <c r="BD21" t="s">
        <v>905</v>
      </c>
      <c r="BE21" t="s">
        <v>906</v>
      </c>
      <c r="BF21" t="str">
        <v>Ammonium sulfate - nitrate</v>
      </c>
      <c r="BG21" t="s">
        <v>907</v>
      </c>
      <c r="BH21" t="s">
        <v>908</v>
      </c>
      <c r="BI21" t="str">
        <v>Injected</v>
      </c>
      <c r="BM21" t="s">
        <v>3486</v>
      </c>
      <c r="BN21" t="s">
        <v>3534</v>
      </c>
      <c r="BO21" t="str">
        <v>Endosulfan [Insecticide]</v>
      </c>
    </row>
    <row r="22" spans="16:90" x14ac:dyDescent="0.25">
      <c r="P22" t="s">
        <v>909</v>
      </c>
      <c r="Q22" t="s">
        <v>910</v>
      </c>
      <c r="R22" t="str">
        <v>Brachiaria</v>
      </c>
      <c r="S22" t="s">
        <v>911</v>
      </c>
      <c r="T22" t="s">
        <v>912</v>
      </c>
      <c r="U22" t="str">
        <v>Silty loam</v>
      </c>
      <c r="V22" t="s">
        <v>1696</v>
      </c>
      <c r="AB22" t="s">
        <v>2539</v>
      </c>
      <c r="AC22" t="s">
        <v>2576</v>
      </c>
      <c r="AD22" t="str">
        <v>Laser leveling</v>
      </c>
      <c r="BA22" t="s">
        <v>3746</v>
      </c>
      <c r="BB22" t="s">
        <v>3775</v>
      </c>
      <c r="BC22" t="str">
        <v>Hairy vetch</v>
      </c>
      <c r="BD22" t="s">
        <v>913</v>
      </c>
      <c r="BE22" t="s">
        <v>914</v>
      </c>
      <c r="BF22" t="str">
        <v>Ammonium sulfate solution</v>
      </c>
      <c r="BG22" t="s">
        <v>915</v>
      </c>
      <c r="BH22" t="s">
        <v>916</v>
      </c>
      <c r="BI22" t="str">
        <v>On the seed</v>
      </c>
      <c r="BM22" t="s">
        <v>3487</v>
      </c>
      <c r="BN22" t="s">
        <v>3535</v>
      </c>
      <c r="BO22" t="str">
        <v>Endrin, Nendrin [Insecticide]</v>
      </c>
    </row>
    <row r="23" spans="16:90" x14ac:dyDescent="0.25">
      <c r="P23" t="s">
        <v>917</v>
      </c>
      <c r="Q23" t="s">
        <v>918</v>
      </c>
      <c r="R23" t="str">
        <v>Bread wheat</v>
      </c>
      <c r="S23" t="s">
        <v>919</v>
      </c>
      <c r="T23" t="s">
        <v>920</v>
      </c>
      <c r="U23" t="str">
        <v>Very fine loamy sand</v>
      </c>
      <c r="V23" t="s">
        <v>1697</v>
      </c>
      <c r="AB23" t="s">
        <v>2540</v>
      </c>
      <c r="AC23" t="s">
        <v>2577</v>
      </c>
      <c r="AD23" t="str">
        <v>Lister</v>
      </c>
      <c r="BA23" t="s">
        <v>3747</v>
      </c>
      <c r="BB23" t="s">
        <v>3776</v>
      </c>
      <c r="BC23" t="str">
        <v>Liquid manure</v>
      </c>
      <c r="BD23" t="s">
        <v>921</v>
      </c>
      <c r="BE23" t="s">
        <v>922</v>
      </c>
      <c r="BF23" t="str">
        <v>Ammonium thiosulfate** (60% solution)</v>
      </c>
      <c r="BM23" t="s">
        <v>3488</v>
      </c>
      <c r="BN23" t="s">
        <v>3536</v>
      </c>
      <c r="BO23" t="str">
        <v>Ethephon</v>
      </c>
    </row>
    <row r="24" spans="16:90" x14ac:dyDescent="0.25">
      <c r="P24" t="s">
        <v>923</v>
      </c>
      <c r="Q24" t="s">
        <v>924</v>
      </c>
      <c r="R24" t="str">
        <v>Broad leaf weeds</v>
      </c>
      <c r="S24" t="s">
        <v>925</v>
      </c>
      <c r="T24" t="s">
        <v>926</v>
      </c>
      <c r="U24" t="str">
        <v>Very fine sand</v>
      </c>
      <c r="V24" t="s">
        <v>1698</v>
      </c>
      <c r="AB24" t="s">
        <v>2541</v>
      </c>
      <c r="AC24" t="s">
        <v>2578</v>
      </c>
      <c r="AD24" t="str">
        <v>Manure injector</v>
      </c>
      <c r="BA24" t="s">
        <v>3748</v>
      </c>
      <c r="BB24" t="s">
        <v>3777</v>
      </c>
      <c r="BC24" t="str">
        <v>Maize residue</v>
      </c>
      <c r="BD24" t="s">
        <v>927</v>
      </c>
      <c r="BE24" t="s">
        <v>928</v>
      </c>
      <c r="BF24" t="str">
        <v>Anhydrous ammonia</v>
      </c>
      <c r="BM24" t="s">
        <v>3489</v>
      </c>
      <c r="BN24" t="s">
        <v>3537</v>
      </c>
      <c r="BO24" t="str">
        <v>Ethion, Diethion [Insecticide]</v>
      </c>
    </row>
    <row r="25" spans="16:90" x14ac:dyDescent="0.25">
      <c r="P25" t="s">
        <v>929</v>
      </c>
      <c r="Q25" t="s">
        <v>930</v>
      </c>
      <c r="R25" t="str">
        <v>Buckwheat</v>
      </c>
      <c r="S25" t="s">
        <v>931</v>
      </c>
      <c r="T25" t="s">
        <v>932</v>
      </c>
      <c r="U25" t="str">
        <v>Very fine sandy loam</v>
      </c>
      <c r="V25" t="s">
        <v>1699</v>
      </c>
      <c r="AB25" t="s">
        <v>2542</v>
      </c>
      <c r="AC25" t="s">
        <v>2579</v>
      </c>
      <c r="AD25" t="str">
        <v>Matraca hand planter</v>
      </c>
      <c r="BA25" t="s">
        <v>809</v>
      </c>
      <c r="BB25" t="s">
        <v>3778</v>
      </c>
      <c r="BC25" t="str">
        <v>Mucuna residue</v>
      </c>
      <c r="BD25" t="s">
        <v>933</v>
      </c>
      <c r="BE25" t="s">
        <v>934</v>
      </c>
      <c r="BF25" t="str">
        <v>Aqua ammonia</v>
      </c>
      <c r="BM25" t="s">
        <v>3490</v>
      </c>
      <c r="BN25" t="s">
        <v>3538</v>
      </c>
      <c r="BO25" t="str">
        <v>Ethylene</v>
      </c>
    </row>
    <row r="26" spans="16:90" x14ac:dyDescent="0.25">
      <c r="P26" t="s">
        <v>935</v>
      </c>
      <c r="Q26" t="s">
        <v>936</v>
      </c>
      <c r="R26" t="str">
        <v>Cabbage</v>
      </c>
      <c r="V26" t="s">
        <v>1700</v>
      </c>
      <c r="AB26" t="s">
        <v>2543</v>
      </c>
      <c r="AC26" t="s">
        <v>2580</v>
      </c>
      <c r="AD26" t="str">
        <v>Moldboard plow 20 cm depth</v>
      </c>
      <c r="BA26" t="s">
        <v>1334</v>
      </c>
      <c r="BB26" t="s">
        <v>3779</v>
      </c>
      <c r="BC26" t="str">
        <v>Pea residue</v>
      </c>
      <c r="BD26" t="s">
        <v>937</v>
      </c>
      <c r="BE26" t="s">
        <v>938</v>
      </c>
      <c r="BF26" t="str">
        <v>Basic Lime phosphate</v>
      </c>
      <c r="BM26" t="s">
        <v>3491</v>
      </c>
      <c r="BN26" t="s">
        <v>3539</v>
      </c>
      <c r="BO26" t="str">
        <v>Fention [Insecticide]</v>
      </c>
    </row>
    <row r="27" spans="16:90" x14ac:dyDescent="0.25">
      <c r="P27" t="s">
        <v>939</v>
      </c>
      <c r="Q27" t="s">
        <v>940</v>
      </c>
      <c r="R27" t="str">
        <v>Camelina</v>
      </c>
      <c r="V27" t="s">
        <v>1701</v>
      </c>
      <c r="AB27" t="s">
        <v>2544</v>
      </c>
      <c r="AC27" t="s">
        <v>2581</v>
      </c>
      <c r="AD27" t="str">
        <v>Moldboard plow 25 cm</v>
      </c>
      <c r="BA27" t="s">
        <v>1338</v>
      </c>
      <c r="BB27" t="s">
        <v>3780</v>
      </c>
      <c r="BC27" t="str">
        <v>Peanut residue</v>
      </c>
      <c r="BD27" t="s">
        <v>941</v>
      </c>
      <c r="BE27" t="s">
        <v>942</v>
      </c>
      <c r="BF27" t="str">
        <v>Basic slag</v>
      </c>
      <c r="BM27" t="s">
        <v>3492</v>
      </c>
      <c r="BN27" t="s">
        <v>3540</v>
      </c>
      <c r="BO27" t="str">
        <v>Furadan [Insecticide]</v>
      </c>
    </row>
    <row r="28" spans="16:90" x14ac:dyDescent="0.25">
      <c r="P28" t="s">
        <v>943</v>
      </c>
      <c r="Q28" t="s">
        <v>944</v>
      </c>
      <c r="R28" t="str">
        <v>Canola</v>
      </c>
      <c r="V28" t="s">
        <v>1702</v>
      </c>
      <c r="AB28" t="s">
        <v>2545</v>
      </c>
      <c r="AC28" t="s">
        <v>2582</v>
      </c>
      <c r="AD28" t="str">
        <v>Moldboard plow 30 cm</v>
      </c>
      <c r="BA28" t="s">
        <v>3749</v>
      </c>
      <c r="BB28" t="s">
        <v>3781</v>
      </c>
      <c r="BC28" t="str">
        <v>Pearl millet residue</v>
      </c>
      <c r="BD28" t="s">
        <v>945</v>
      </c>
      <c r="BE28" t="s">
        <v>946</v>
      </c>
      <c r="BF28" t="str">
        <v>Basic zinc sulfate</v>
      </c>
      <c r="BM28" t="s">
        <v>3493</v>
      </c>
      <c r="BN28" t="s">
        <v>3541</v>
      </c>
      <c r="BO28" t="str">
        <v>Glyphosate [Herbicide]</v>
      </c>
    </row>
    <row r="29" spans="16:90" x14ac:dyDescent="0.25">
      <c r="P29" t="s">
        <v>947</v>
      </c>
      <c r="Q29" t="s">
        <v>948</v>
      </c>
      <c r="R29" t="str">
        <v>Carob</v>
      </c>
      <c r="V29" t="s">
        <v>1703</v>
      </c>
      <c r="AB29" s="37" t="s">
        <v>2595</v>
      </c>
      <c r="AC29" t="s">
        <v>2583</v>
      </c>
      <c r="AD29" t="str">
        <v>Mulch treader</v>
      </c>
      <c r="BA29" t="s">
        <v>3750</v>
      </c>
      <c r="BB29" t="s">
        <v>3782</v>
      </c>
      <c r="BC29" t="str">
        <v>Pigeon Pea residue</v>
      </c>
      <c r="BD29" t="s">
        <v>949</v>
      </c>
      <c r="BE29" t="s">
        <v>950</v>
      </c>
      <c r="BF29" t="str">
        <v>Bone meal (steamed)</v>
      </c>
      <c r="BM29" t="s">
        <v>3494</v>
      </c>
      <c r="BN29" t="s">
        <v>3542</v>
      </c>
      <c r="BO29" t="str">
        <v>Heptachlor [Insecticide]</v>
      </c>
    </row>
    <row r="30" spans="16:90" x14ac:dyDescent="0.25">
      <c r="P30" t="s">
        <v>951</v>
      </c>
      <c r="Q30" t="s">
        <v>952</v>
      </c>
      <c r="R30" t="str">
        <v>Carrot</v>
      </c>
      <c r="V30" t="s">
        <v>1704</v>
      </c>
      <c r="AB30" t="s">
        <v>2546</v>
      </c>
      <c r="AC30" t="s">
        <v>2584</v>
      </c>
      <c r="AD30" t="str">
        <v>Plank</v>
      </c>
      <c r="BA30" t="s">
        <v>863</v>
      </c>
      <c r="BB30" t="s">
        <v>3783</v>
      </c>
      <c r="BC30" t="str">
        <v>Pineapple</v>
      </c>
      <c r="BD30" t="s">
        <v>953</v>
      </c>
      <c r="BE30" t="s">
        <v>954</v>
      </c>
      <c r="BF30" t="str">
        <v>Borax</v>
      </c>
      <c r="BM30" t="s">
        <v>3495</v>
      </c>
      <c r="BN30" t="s">
        <v>3543</v>
      </c>
      <c r="BO30" t="str">
        <v>Malathion, Mercaptothion [Insecticide]</v>
      </c>
    </row>
    <row r="31" spans="16:90" x14ac:dyDescent="0.25">
      <c r="P31" t="s">
        <v>955</v>
      </c>
      <c r="Q31" t="s">
        <v>956</v>
      </c>
      <c r="R31" t="str">
        <v>Cashew</v>
      </c>
      <c r="V31" t="s">
        <v>1705</v>
      </c>
      <c r="AB31" t="s">
        <v>2547</v>
      </c>
      <c r="AC31" t="s">
        <v>2585</v>
      </c>
      <c r="AD31" t="str">
        <v>Planter, no-till</v>
      </c>
      <c r="BA31" t="s">
        <v>3751</v>
      </c>
      <c r="BB31" t="s">
        <v>3784</v>
      </c>
      <c r="BC31" t="str">
        <v>Rice</v>
      </c>
      <c r="BD31" t="s">
        <v>957</v>
      </c>
      <c r="BE31" t="s">
        <v>958</v>
      </c>
      <c r="BF31" t="str">
        <v>Boric acid</v>
      </c>
      <c r="BM31" t="s">
        <v>3496</v>
      </c>
      <c r="BN31" t="s">
        <v>3544</v>
      </c>
      <c r="BO31" t="str">
        <v>Mancozeb [Fungicide]</v>
      </c>
    </row>
    <row r="32" spans="16:90" x14ac:dyDescent="0.25">
      <c r="P32" t="s">
        <v>959</v>
      </c>
      <c r="Q32" t="s">
        <v>960</v>
      </c>
      <c r="R32" t="str">
        <v>Cassava</v>
      </c>
      <c r="V32" t="s">
        <v>1706</v>
      </c>
      <c r="AB32" t="s">
        <v>2548</v>
      </c>
      <c r="AC32" t="s">
        <v>2586</v>
      </c>
      <c r="AD32" t="str">
        <v>Planter, row</v>
      </c>
      <c r="BA32" t="s">
        <v>3752</v>
      </c>
      <c r="BB32" t="s">
        <v>3785</v>
      </c>
      <c r="BC32" t="str">
        <v>Rye</v>
      </c>
      <c r="BD32" t="s">
        <v>961</v>
      </c>
      <c r="BE32" t="s">
        <v>962</v>
      </c>
      <c r="BF32" t="str">
        <v>Brucite (Magnesium hydroxide)</v>
      </c>
      <c r="BM32" t="s">
        <v>3497</v>
      </c>
      <c r="BN32" t="s">
        <v>3545</v>
      </c>
      <c r="BO32" t="str">
        <v>Maneb [Fungicide]</v>
      </c>
    </row>
    <row r="33" spans="16:67" x14ac:dyDescent="0.25">
      <c r="P33" t="s">
        <v>963</v>
      </c>
      <c r="Q33" t="s">
        <v>964</v>
      </c>
      <c r="R33" t="str">
        <v>Castor bean</v>
      </c>
      <c r="V33" t="s">
        <v>1707</v>
      </c>
      <c r="AB33" t="s">
        <v>2549</v>
      </c>
      <c r="AC33" t="s">
        <v>2587</v>
      </c>
      <c r="AD33" t="str">
        <v>Planting stick (hand)</v>
      </c>
      <c r="BA33" t="s">
        <v>3753</v>
      </c>
      <c r="BB33" t="s">
        <v>3786</v>
      </c>
      <c r="BC33" t="str">
        <v>Sorghum residue</v>
      </c>
      <c r="BD33" t="s">
        <v>965</v>
      </c>
      <c r="BE33" t="s">
        <v>966</v>
      </c>
      <c r="BF33" t="str">
        <v>Calcitic limestone</v>
      </c>
      <c r="BM33" t="s">
        <v>3498</v>
      </c>
      <c r="BN33" t="s">
        <v>3546</v>
      </c>
      <c r="BO33" t="str">
        <v>MCPA [Herbicide]</v>
      </c>
    </row>
    <row r="34" spans="16:67" x14ac:dyDescent="0.25">
      <c r="P34" t="s">
        <v>967</v>
      </c>
      <c r="Q34" t="s">
        <v>968</v>
      </c>
      <c r="R34" t="str">
        <v>Cauliflower</v>
      </c>
      <c r="V34" t="s">
        <v>1708</v>
      </c>
      <c r="AB34" t="s">
        <v>2550</v>
      </c>
      <c r="AC34" t="s">
        <v>2588</v>
      </c>
      <c r="AD34" t="str">
        <v>Rod weeder</v>
      </c>
      <c r="BA34" t="s">
        <v>3754</v>
      </c>
      <c r="BB34" t="s">
        <v>3787</v>
      </c>
      <c r="BC34" t="str">
        <v>Soybean residue</v>
      </c>
      <c r="BD34" t="s">
        <v>969</v>
      </c>
      <c r="BE34" t="s">
        <v>970</v>
      </c>
      <c r="BF34" t="str">
        <v>Calcium ammonium nitrate</v>
      </c>
      <c r="BM34" t="s">
        <v>3499</v>
      </c>
      <c r="BN34" t="s">
        <v>3547</v>
      </c>
      <c r="BO34" t="str">
        <v>Mepiquat chloride, Pix</v>
      </c>
    </row>
    <row r="35" spans="16:67" x14ac:dyDescent="0.25">
      <c r="P35" t="s">
        <v>971</v>
      </c>
      <c r="Q35" t="s">
        <v>972</v>
      </c>
      <c r="R35" t="str">
        <v>Celery</v>
      </c>
      <c r="V35" t="s">
        <v>1709</v>
      </c>
      <c r="AB35" t="s">
        <v>2551</v>
      </c>
      <c r="AC35" t="s">
        <v>2589</v>
      </c>
      <c r="AD35" t="str">
        <v>Roller harrow, cultipacker</v>
      </c>
      <c r="BA35" t="s">
        <v>1390</v>
      </c>
      <c r="BB35" t="s">
        <v>3788</v>
      </c>
      <c r="BC35" t="str">
        <v>Sugarcane</v>
      </c>
      <c r="BD35" t="s">
        <v>973</v>
      </c>
      <c r="BE35" t="s">
        <v>974</v>
      </c>
      <c r="BF35" t="str">
        <v>Calcium chelate</v>
      </c>
      <c r="BM35" t="s">
        <v>3500</v>
      </c>
      <c r="BN35" t="s">
        <v>3548</v>
      </c>
      <c r="BO35" t="str">
        <v>Methomyl, Lannat [Insecticide]</v>
      </c>
    </row>
    <row r="36" spans="16:67" x14ac:dyDescent="0.25">
      <c r="P36" t="s">
        <v>975</v>
      </c>
      <c r="Q36" t="s">
        <v>976</v>
      </c>
      <c r="R36" t="str">
        <v>Cereal-unknown or mixture</v>
      </c>
      <c r="V36" t="s">
        <v>1710</v>
      </c>
      <c r="AB36" t="s">
        <v>2552</v>
      </c>
      <c r="AC36" t="s">
        <v>2590</v>
      </c>
      <c r="AD36" t="str">
        <v>Roller packer</v>
      </c>
      <c r="BA36" t="s">
        <v>1262</v>
      </c>
      <c r="BB36" t="s">
        <v>3789</v>
      </c>
      <c r="BC36" t="str">
        <v>Switchgrass</v>
      </c>
      <c r="BD36" t="s">
        <v>977</v>
      </c>
      <c r="BE36" t="s">
        <v>978</v>
      </c>
      <c r="BF36" t="str">
        <v>Calcium chloride</v>
      </c>
      <c r="BM36" t="s">
        <v>3501</v>
      </c>
      <c r="BN36" t="s">
        <v>3549</v>
      </c>
      <c r="BO36" t="str">
        <v>Methyl Parathion [Insecticide]</v>
      </c>
    </row>
    <row r="37" spans="16:67" x14ac:dyDescent="0.25">
      <c r="P37" t="s">
        <v>979</v>
      </c>
      <c r="Q37" t="s">
        <v>980</v>
      </c>
      <c r="R37" t="str">
        <v>Cherry</v>
      </c>
      <c r="V37" t="s">
        <v>1711</v>
      </c>
      <c r="AB37" t="s">
        <v>2553</v>
      </c>
      <c r="AC37" t="s">
        <v>2591</v>
      </c>
      <c r="AD37" t="str">
        <v>Rotary hoe</v>
      </c>
      <c r="BA37" t="s">
        <v>3755</v>
      </c>
      <c r="BB37" t="s">
        <v>3790</v>
      </c>
      <c r="BC37" t="str">
        <v>Wheat residue</v>
      </c>
      <c r="BD37" t="s">
        <v>981</v>
      </c>
      <c r="BE37" t="s">
        <v>982</v>
      </c>
      <c r="BF37" t="str">
        <v>Calcium cyanamide</v>
      </c>
      <c r="BM37" t="s">
        <v>3502</v>
      </c>
      <c r="BN37" t="s">
        <v>3550</v>
      </c>
      <c r="BO37" t="str">
        <v>Mevinphosl [Insecticide]</v>
      </c>
    </row>
    <row r="38" spans="16:67" x14ac:dyDescent="0.25">
      <c r="P38" t="s">
        <v>983</v>
      </c>
      <c r="Q38" t="s">
        <v>984</v>
      </c>
      <c r="R38" t="str">
        <v>Chestnut</v>
      </c>
      <c r="V38" t="s">
        <v>1712</v>
      </c>
      <c r="AB38" t="s">
        <v>2554</v>
      </c>
      <c r="AC38" t="s">
        <v>2592</v>
      </c>
      <c r="AD38" t="str">
        <v>Strip tillage</v>
      </c>
      <c r="BD38" t="s">
        <v>985</v>
      </c>
      <c r="BE38" t="s">
        <v>986</v>
      </c>
      <c r="BF38" t="str">
        <v>Calcium hydroxide (hydrated lime)</v>
      </c>
      <c r="BM38" t="s">
        <v>3503</v>
      </c>
      <c r="BN38" t="s">
        <v>3551</v>
      </c>
      <c r="BO38" t="str">
        <v>Naled [Insecticide]</v>
      </c>
    </row>
    <row r="39" spans="16:67" x14ac:dyDescent="0.25">
      <c r="P39" t="s">
        <v>987</v>
      </c>
      <c r="Q39" t="s">
        <v>988</v>
      </c>
      <c r="R39" t="str">
        <v>Chia</v>
      </c>
      <c r="V39" t="s">
        <v>1713</v>
      </c>
      <c r="AB39" t="s">
        <v>2555</v>
      </c>
      <c r="AC39" t="s">
        <v>2593</v>
      </c>
      <c r="AD39" t="str">
        <v>Subsoiler</v>
      </c>
      <c r="BD39" t="s">
        <v>989</v>
      </c>
      <c r="BE39" t="s">
        <v>990</v>
      </c>
      <c r="BF39" t="str">
        <v>Calcium metaphosphate</v>
      </c>
      <c r="BM39" t="s">
        <v>3504</v>
      </c>
      <c r="BN39" t="s">
        <v>3552</v>
      </c>
      <c r="BO39" t="str">
        <v>Oxydemeton-Methyl [Insecticide]</v>
      </c>
    </row>
    <row r="40" spans="16:67" x14ac:dyDescent="0.25">
      <c r="P40" t="s">
        <v>991</v>
      </c>
      <c r="Q40" t="s">
        <v>992</v>
      </c>
      <c r="R40" t="str">
        <v>Chickpea</v>
      </c>
      <c r="V40" t="s">
        <v>1714</v>
      </c>
      <c r="AB40" t="s">
        <v>2556</v>
      </c>
      <c r="AC40" t="s">
        <v>2594</v>
      </c>
      <c r="AD40" t="str">
        <v>V-Ripper</v>
      </c>
      <c r="BD40" t="s">
        <v>993</v>
      </c>
      <c r="BE40" t="s">
        <v>994</v>
      </c>
      <c r="BF40" t="str">
        <v>Calcium nitrate</v>
      </c>
      <c r="BM40" t="s">
        <v>3505</v>
      </c>
      <c r="BN40" t="s">
        <v>3553</v>
      </c>
      <c r="BO40" t="str">
        <v>Paraquat [Herbicide]</v>
      </c>
    </row>
    <row r="41" spans="16:67" x14ac:dyDescent="0.25">
      <c r="P41" t="s">
        <v>995</v>
      </c>
      <c r="Q41" t="s">
        <v>996</v>
      </c>
      <c r="R41" t="str">
        <v>Chinese cabbage</v>
      </c>
      <c r="V41" t="s">
        <v>1715</v>
      </c>
      <c r="BD41" t="s">
        <v>997</v>
      </c>
      <c r="BE41" t="s">
        <v>998</v>
      </c>
      <c r="BF41" t="str">
        <v>Calcium nitrate-urea</v>
      </c>
      <c r="BM41" t="s">
        <v>3506</v>
      </c>
      <c r="BN41" t="s">
        <v>3554</v>
      </c>
      <c r="BO41" t="str">
        <v>Parathion [Insecticide]</v>
      </c>
    </row>
    <row r="42" spans="16:67" x14ac:dyDescent="0.25">
      <c r="P42" t="s">
        <v>999</v>
      </c>
      <c r="Q42" t="s">
        <v>1000</v>
      </c>
      <c r="R42" t="str">
        <v>Chocolate</v>
      </c>
      <c r="V42" t="s">
        <v>1716</v>
      </c>
      <c r="BD42" t="s">
        <v>1001</v>
      </c>
      <c r="BE42" t="s">
        <v>1002</v>
      </c>
      <c r="BF42" t="str">
        <v>Calcium oxide (burned lime, quicklime)</v>
      </c>
      <c r="BM42" t="s">
        <v>3507</v>
      </c>
      <c r="BN42" t="s">
        <v>3555</v>
      </c>
      <c r="BO42" t="str">
        <v>Pendimethalin [Herbicide]</v>
      </c>
    </row>
    <row r="43" spans="16:67" x14ac:dyDescent="0.25">
      <c r="P43" t="s">
        <v>1003</v>
      </c>
      <c r="Q43" t="s">
        <v>1004</v>
      </c>
      <c r="R43" t="str">
        <v>Citrus</v>
      </c>
      <c r="V43" t="s">
        <v>1717</v>
      </c>
      <c r="BD43" t="s">
        <v>1005</v>
      </c>
      <c r="BE43" t="s">
        <v>1006</v>
      </c>
      <c r="BF43" t="str">
        <v>Calcium sulfate (hydrous)</v>
      </c>
      <c r="BM43" t="s">
        <v>3508</v>
      </c>
      <c r="BN43" t="s">
        <v>3556</v>
      </c>
      <c r="BO43" t="str">
        <v>Phosphamidon [Insecticide]</v>
      </c>
    </row>
    <row r="44" spans="16:67" x14ac:dyDescent="0.25">
      <c r="P44" t="s">
        <v>1007</v>
      </c>
      <c r="Q44" t="s">
        <v>1008</v>
      </c>
      <c r="R44" t="str">
        <v>Clover</v>
      </c>
      <c r="V44" t="s">
        <v>1718</v>
      </c>
      <c r="BD44" t="s">
        <v>1009</v>
      </c>
      <c r="BE44" t="s">
        <v>1010</v>
      </c>
      <c r="BF44" t="str">
        <v>Carnallite (hydrated potassium magnesium chloride)</v>
      </c>
      <c r="BM44" t="s">
        <v>3509</v>
      </c>
      <c r="BN44" t="s">
        <v>3557</v>
      </c>
      <c r="BO44" t="str">
        <v>Propanil [Herbicide]</v>
      </c>
    </row>
    <row r="45" spans="16:67" x14ac:dyDescent="0.25">
      <c r="P45" t="s">
        <v>1011</v>
      </c>
      <c r="Q45" t="s">
        <v>1012</v>
      </c>
      <c r="R45" t="str">
        <v>Cochineal nopal cactus</v>
      </c>
      <c r="V45" t="s">
        <v>1719</v>
      </c>
      <c r="BD45" t="s">
        <v>1013</v>
      </c>
      <c r="BE45" t="s">
        <v>1014</v>
      </c>
      <c r="BF45" t="str">
        <v>Cobalt sulfate</v>
      </c>
      <c r="BM45" t="s">
        <v>3510</v>
      </c>
      <c r="BN45" t="s">
        <v>3558</v>
      </c>
      <c r="BO45" t="str">
        <v>Rhizobium (for legume crops)</v>
      </c>
    </row>
    <row r="46" spans="16:67" x14ac:dyDescent="0.25">
      <c r="P46" t="s">
        <v>1015</v>
      </c>
      <c r="Q46" t="s">
        <v>1016</v>
      </c>
      <c r="R46" t="str">
        <v>Coconut</v>
      </c>
      <c r="V46" t="s">
        <v>1720</v>
      </c>
      <c r="BD46" t="s">
        <v>1017</v>
      </c>
      <c r="BE46" t="s">
        <v>1018</v>
      </c>
      <c r="BF46" t="str">
        <v>Colloidal phosphate (Soft)</v>
      </c>
      <c r="BM46" t="s">
        <v>3511</v>
      </c>
      <c r="BN46" t="s">
        <v>3559</v>
      </c>
      <c r="BO46" t="str">
        <v>Thiotex [Insecticide]</v>
      </c>
    </row>
    <row r="47" spans="16:67" x14ac:dyDescent="0.25">
      <c r="P47" t="s">
        <v>1019</v>
      </c>
      <c r="Q47" t="s">
        <v>1020</v>
      </c>
      <c r="R47" t="str">
        <v>Coffee</v>
      </c>
      <c r="V47" t="s">
        <v>1721</v>
      </c>
      <c r="BD47" t="s">
        <v>1021</v>
      </c>
      <c r="BE47" t="s">
        <v>1022</v>
      </c>
      <c r="BF47" t="str">
        <v>Copper chelate</v>
      </c>
      <c r="BM47" t="s">
        <v>3512</v>
      </c>
      <c r="BN47" t="s">
        <v>3560</v>
      </c>
      <c r="BO47" t="str">
        <v>Tilt [Fungicide]</v>
      </c>
    </row>
    <row r="48" spans="16:67" x14ac:dyDescent="0.25">
      <c r="P48" t="s">
        <v>1023</v>
      </c>
      <c r="Q48" t="s">
        <v>1024</v>
      </c>
      <c r="R48" t="str">
        <v>Concord grape</v>
      </c>
      <c r="V48" t="s">
        <v>1722</v>
      </c>
      <c r="BD48" t="s">
        <v>1025</v>
      </c>
      <c r="BE48" t="s">
        <v>1026</v>
      </c>
      <c r="BF48" t="str">
        <v>Copper compound</v>
      </c>
      <c r="BM48" t="s">
        <v>3513</v>
      </c>
      <c r="BN48" t="s">
        <v>3561</v>
      </c>
      <c r="BO48" t="str">
        <v>Toxaphene [Insecticide]</v>
      </c>
    </row>
    <row r="49" spans="16:67" x14ac:dyDescent="0.25">
      <c r="P49" t="s">
        <v>1027</v>
      </c>
      <c r="Q49" t="s">
        <v>1028</v>
      </c>
      <c r="R49" t="str">
        <v>Cotton</v>
      </c>
      <c r="V49" t="s">
        <v>1723</v>
      </c>
      <c r="BD49" t="s">
        <v>1029</v>
      </c>
      <c r="BE49" t="s">
        <v>1030</v>
      </c>
      <c r="BF49" t="str">
        <v>Copper oxide, black</v>
      </c>
      <c r="BM49" t="s">
        <v>3514</v>
      </c>
      <c r="BN49" t="s">
        <v>3562</v>
      </c>
      <c r="BO49" t="str">
        <v>Trifluralin [Herbicide]</v>
      </c>
    </row>
    <row r="50" spans="16:67" x14ac:dyDescent="0.25">
      <c r="P50" t="s">
        <v>1031</v>
      </c>
      <c r="Q50" t="s">
        <v>1032</v>
      </c>
      <c r="R50" t="str">
        <v>Cover crop-unknown or mixture</v>
      </c>
      <c r="V50" t="s">
        <v>1724</v>
      </c>
      <c r="BD50" t="s">
        <v>1033</v>
      </c>
      <c r="BE50" t="s">
        <v>1034</v>
      </c>
      <c r="BF50" t="str">
        <v>Copper oxide, red</v>
      </c>
      <c r="BM50" t="s">
        <v>3515</v>
      </c>
      <c r="BN50" t="s">
        <v>3563</v>
      </c>
      <c r="BO50" t="str">
        <v>Zineb [Fungicide]</v>
      </c>
    </row>
    <row r="51" spans="16:67" x14ac:dyDescent="0.25">
      <c r="P51" t="s">
        <v>1035</v>
      </c>
      <c r="Q51" t="s">
        <v>1036</v>
      </c>
      <c r="R51" t="str">
        <v>Cowpea</v>
      </c>
      <c r="V51" t="s">
        <v>1725</v>
      </c>
      <c r="BD51" t="s">
        <v>1037</v>
      </c>
      <c r="BE51" t="s">
        <v>1038</v>
      </c>
      <c r="BF51" t="str">
        <v>Copper sulfate</v>
      </c>
    </row>
    <row r="52" spans="16:67" x14ac:dyDescent="0.25">
      <c r="P52" t="s">
        <v>1039</v>
      </c>
      <c r="Q52" t="s">
        <v>1040</v>
      </c>
      <c r="R52" t="str">
        <v>Crambe</v>
      </c>
      <c r="V52" t="s">
        <v>1726</v>
      </c>
      <c r="BD52" t="s">
        <v>1041</v>
      </c>
      <c r="BE52" t="s">
        <v>1042</v>
      </c>
      <c r="BF52" t="str">
        <v>Crotonylidene diurea (CDU)</v>
      </c>
    </row>
    <row r="53" spans="16:67" x14ac:dyDescent="0.25">
      <c r="P53" t="s">
        <v>1043</v>
      </c>
      <c r="Q53" t="s">
        <v>1044</v>
      </c>
      <c r="R53" t="str">
        <v>Cranberry</v>
      </c>
      <c r="V53" t="s">
        <v>1727</v>
      </c>
      <c r="BD53" t="s">
        <v>1045</v>
      </c>
      <c r="BE53" t="s">
        <v>1046</v>
      </c>
      <c r="BF53" t="str">
        <v>DCD (dicyandiamide)</v>
      </c>
    </row>
    <row r="54" spans="16:67" x14ac:dyDescent="0.25">
      <c r="P54" t="s">
        <v>1047</v>
      </c>
      <c r="Q54" t="s">
        <v>1048</v>
      </c>
      <c r="R54" t="str">
        <v>Cucumber</v>
      </c>
      <c r="V54" t="s">
        <v>1728</v>
      </c>
      <c r="BD54" t="s">
        <v>1049</v>
      </c>
      <c r="BE54" t="s">
        <v>1050</v>
      </c>
      <c r="BF54" t="str">
        <v>Diammonium phosphate (DAP)</v>
      </c>
    </row>
    <row r="55" spans="16:67" x14ac:dyDescent="0.25">
      <c r="P55" t="s">
        <v>1051</v>
      </c>
      <c r="Q55" t="s">
        <v>1052</v>
      </c>
      <c r="R55" t="str">
        <v>Dates</v>
      </c>
      <c r="V55" t="s">
        <v>1729</v>
      </c>
      <c r="BD55" t="s">
        <v>1053</v>
      </c>
      <c r="BE55" t="s">
        <v>1054</v>
      </c>
      <c r="BF55" t="str">
        <v>DMPP (3,4-Dimethylpyrazole phosphate)</v>
      </c>
    </row>
    <row r="56" spans="16:67" x14ac:dyDescent="0.25">
      <c r="P56" t="s">
        <v>1055</v>
      </c>
      <c r="Q56" t="s">
        <v>1056</v>
      </c>
      <c r="R56" t="str">
        <v>Dragon fruit</v>
      </c>
      <c r="V56" t="s">
        <v>1730</v>
      </c>
      <c r="BD56" t="s">
        <v>1057</v>
      </c>
      <c r="BE56" t="s">
        <v>1058</v>
      </c>
      <c r="BF56" t="str">
        <v>Dolomitic limestone</v>
      </c>
    </row>
    <row r="57" spans="16:67" x14ac:dyDescent="0.25">
      <c r="P57" t="s">
        <v>1059</v>
      </c>
      <c r="Q57" t="s">
        <v>1060</v>
      </c>
      <c r="R57" t="str">
        <v>Dry bean</v>
      </c>
      <c r="V57" t="s">
        <v>1731</v>
      </c>
      <c r="BD57" t="s">
        <v>1061</v>
      </c>
      <c r="BE57" t="s">
        <v>1062</v>
      </c>
      <c r="BF57" t="str">
        <v>ESN</v>
      </c>
    </row>
    <row r="58" spans="16:67" x14ac:dyDescent="0.25">
      <c r="P58" t="s">
        <v>1063</v>
      </c>
      <c r="Q58" t="s">
        <v>1064</v>
      </c>
      <c r="R58" t="str">
        <v>Durum wheat</v>
      </c>
      <c r="V58" t="s">
        <v>1732</v>
      </c>
      <c r="BD58" t="s">
        <v>1065</v>
      </c>
      <c r="BE58" t="s">
        <v>1066</v>
      </c>
      <c r="BF58" t="str">
        <v>ESN + NBTPT</v>
      </c>
    </row>
    <row r="59" spans="16:67" x14ac:dyDescent="0.25">
      <c r="P59" t="s">
        <v>1067</v>
      </c>
      <c r="Q59" t="s">
        <v>1068</v>
      </c>
      <c r="R59" t="str">
        <v>Eggplant</v>
      </c>
      <c r="V59" t="s">
        <v>1733</v>
      </c>
      <c r="BD59" t="s">
        <v>1069</v>
      </c>
      <c r="BE59" t="s">
        <v>1070</v>
      </c>
      <c r="BF59" t="str">
        <v>Ferric oxide</v>
      </c>
    </row>
    <row r="60" spans="16:67" x14ac:dyDescent="0.25">
      <c r="P60" t="s">
        <v>1071</v>
      </c>
      <c r="Q60" t="s">
        <v>1072</v>
      </c>
      <c r="R60" t="str">
        <v>Endive</v>
      </c>
      <c r="V60" t="s">
        <v>1734</v>
      </c>
      <c r="BD60" t="s">
        <v>1073</v>
      </c>
      <c r="BE60" t="s">
        <v>1074</v>
      </c>
      <c r="BF60" t="str">
        <v>Ferric sulfate</v>
      </c>
    </row>
    <row r="61" spans="16:67" x14ac:dyDescent="0.25">
      <c r="P61" t="s">
        <v>1075</v>
      </c>
      <c r="Q61" t="s">
        <v>1076</v>
      </c>
      <c r="R61" t="str">
        <v>Erect prickly pear</v>
      </c>
      <c r="V61" t="s">
        <v>1735</v>
      </c>
      <c r="BD61" t="s">
        <v>1077</v>
      </c>
      <c r="BE61" t="s">
        <v>1078</v>
      </c>
      <c r="BF61" t="str">
        <v>Ferrous ammonium sulfate</v>
      </c>
    </row>
    <row r="62" spans="16:67" x14ac:dyDescent="0.25">
      <c r="P62" t="s">
        <v>1079</v>
      </c>
      <c r="Q62" t="s">
        <v>1080</v>
      </c>
      <c r="R62" t="str">
        <v>Ethiopian mustard</v>
      </c>
      <c r="V62" t="s">
        <v>1736</v>
      </c>
      <c r="BD62" t="s">
        <v>1081</v>
      </c>
      <c r="BE62" t="s">
        <v>1082</v>
      </c>
      <c r="BF62" t="str">
        <v>Ferrous sulfate</v>
      </c>
    </row>
    <row r="63" spans="16:67" x14ac:dyDescent="0.25">
      <c r="P63" t="s">
        <v>1083</v>
      </c>
      <c r="Q63" t="s">
        <v>1084</v>
      </c>
      <c r="R63" t="str">
        <v>Faba bean</v>
      </c>
      <c r="V63" t="s">
        <v>1737</v>
      </c>
      <c r="BD63" t="s">
        <v>1085</v>
      </c>
      <c r="BE63" t="s">
        <v>1086</v>
      </c>
      <c r="BF63" t="str">
        <v>Flowable S</v>
      </c>
    </row>
    <row r="64" spans="16:67" x14ac:dyDescent="0.25">
      <c r="P64" t="s">
        <v>1087</v>
      </c>
      <c r="Q64" t="s">
        <v>1088</v>
      </c>
      <c r="R64" t="str">
        <v>Fallow</v>
      </c>
      <c r="V64" t="s">
        <v>1738</v>
      </c>
      <c r="BD64" t="s">
        <v>1089</v>
      </c>
      <c r="BE64" t="s">
        <v>1090</v>
      </c>
      <c r="BF64" t="str">
        <v>Flowers of S</v>
      </c>
    </row>
    <row r="65" spans="16:58" x14ac:dyDescent="0.25">
      <c r="P65" t="s">
        <v>1091</v>
      </c>
      <c r="Q65" t="s">
        <v>1092</v>
      </c>
      <c r="R65" t="str">
        <v>Fig</v>
      </c>
      <c r="V65" t="s">
        <v>1739</v>
      </c>
      <c r="BD65" t="s">
        <v>1093</v>
      </c>
      <c r="BE65" t="s">
        <v>1094</v>
      </c>
      <c r="BF65" t="str">
        <v>Generic fertilizer</v>
      </c>
    </row>
    <row r="66" spans="16:58" x14ac:dyDescent="0.25">
      <c r="P66" t="s">
        <v>1095</v>
      </c>
      <c r="Q66" t="s">
        <v>1096</v>
      </c>
      <c r="R66" t="str">
        <v>Finger millet</v>
      </c>
      <c r="V66" t="s">
        <v>1740</v>
      </c>
      <c r="BD66" t="s">
        <v>1097</v>
      </c>
      <c r="BE66" t="s">
        <v>1098</v>
      </c>
      <c r="BF66" t="str">
        <v>Greensand</v>
      </c>
    </row>
    <row r="67" spans="16:58" x14ac:dyDescent="0.25">
      <c r="P67" t="s">
        <v>1099</v>
      </c>
      <c r="Q67" t="s">
        <v>1100</v>
      </c>
      <c r="R67" t="str">
        <v>Flax</v>
      </c>
      <c r="V67" t="s">
        <v>1741</v>
      </c>
      <c r="BD67" t="s">
        <v>1101</v>
      </c>
      <c r="BE67" t="s">
        <v>1102</v>
      </c>
      <c r="BF67" t="str">
        <v>Gypsum</v>
      </c>
    </row>
    <row r="68" spans="16:58" x14ac:dyDescent="0.25">
      <c r="P68" t="s">
        <v>1103</v>
      </c>
      <c r="Q68" t="s">
        <v>1104</v>
      </c>
      <c r="R68" t="str">
        <v>Forage (generic)</v>
      </c>
      <c r="V68" t="s">
        <v>1742</v>
      </c>
      <c r="BD68" t="s">
        <v>1105</v>
      </c>
      <c r="BE68" t="s">
        <v>1106</v>
      </c>
      <c r="BF68" t="str">
        <v>Iron chelate</v>
      </c>
    </row>
    <row r="69" spans="16:58" x14ac:dyDescent="0.25">
      <c r="P69" t="s">
        <v>1107</v>
      </c>
      <c r="Q69" t="s">
        <v>1108</v>
      </c>
      <c r="R69" t="str">
        <v>Forage maize</v>
      </c>
      <c r="V69" t="s">
        <v>1743</v>
      </c>
      <c r="BD69" t="s">
        <v>1109</v>
      </c>
      <c r="BE69" t="s">
        <v>1110</v>
      </c>
      <c r="BF69" t="str">
        <v>Iron compound</v>
      </c>
    </row>
    <row r="70" spans="16:58" x14ac:dyDescent="0.25">
      <c r="P70" t="s">
        <v>1111</v>
      </c>
      <c r="Q70" t="s">
        <v>1112</v>
      </c>
      <c r="R70" t="str">
        <v>Foxtail millet</v>
      </c>
      <c r="V70" t="s">
        <v>1744</v>
      </c>
      <c r="BD70" t="s">
        <v>1113</v>
      </c>
      <c r="BE70" t="s">
        <v>1114</v>
      </c>
      <c r="BF70" t="str">
        <v>Isobutylidene diurea (IBDU)</v>
      </c>
    </row>
    <row r="71" spans="16:58" x14ac:dyDescent="0.25">
      <c r="P71" t="s">
        <v>1115</v>
      </c>
      <c r="Q71" t="s">
        <v>1116</v>
      </c>
      <c r="R71" t="str">
        <v>Garlic</v>
      </c>
      <c r="V71" t="s">
        <v>1745</v>
      </c>
      <c r="BD71" t="s">
        <v>1117</v>
      </c>
      <c r="BE71" t="s">
        <v>1118</v>
      </c>
      <c r="BF71" t="str">
        <v>Kainite KMg(SO4)Cl·3H2O</v>
      </c>
    </row>
    <row r="72" spans="16:58" x14ac:dyDescent="0.25">
      <c r="P72" t="s">
        <v>1119</v>
      </c>
      <c r="Q72" t="s">
        <v>1120</v>
      </c>
      <c r="R72" t="str">
        <v>Grass vegetations</v>
      </c>
      <c r="V72" t="s">
        <v>1746</v>
      </c>
      <c r="BD72" t="s">
        <v>1121</v>
      </c>
      <c r="BE72" t="s">
        <v>1122</v>
      </c>
      <c r="BF72" t="str">
        <v>Lime sulfur solution</v>
      </c>
    </row>
    <row r="73" spans="16:58" x14ac:dyDescent="0.25">
      <c r="P73" t="s">
        <v>1123</v>
      </c>
      <c r="Q73" t="s">
        <v>1124</v>
      </c>
      <c r="R73" t="str">
        <v>Grass weeds</v>
      </c>
      <c r="V73" t="s">
        <v>1747</v>
      </c>
      <c r="BD73" t="s">
        <v>1125</v>
      </c>
      <c r="BE73" t="s">
        <v>1126</v>
      </c>
      <c r="BF73" t="str">
        <v>Lime-potash mixtures</v>
      </c>
    </row>
    <row r="74" spans="16:58" x14ac:dyDescent="0.25">
      <c r="P74" t="s">
        <v>1127</v>
      </c>
      <c r="Q74" t="s">
        <v>1128</v>
      </c>
      <c r="R74" t="str">
        <v>Grass-unknown or mixture</v>
      </c>
      <c r="V74" t="s">
        <v>1748</v>
      </c>
      <c r="BD74" t="s">
        <v>1129</v>
      </c>
      <c r="BE74" t="s">
        <v>1130</v>
      </c>
      <c r="BF74" t="str">
        <v>Limestone, phosphatic</v>
      </c>
    </row>
    <row r="75" spans="16:58" x14ac:dyDescent="0.25">
      <c r="P75" t="s">
        <v>1131</v>
      </c>
      <c r="Q75" t="s">
        <v>1132</v>
      </c>
      <c r="R75" t="str">
        <v>Green bean</v>
      </c>
      <c r="V75" t="s">
        <v>1749</v>
      </c>
      <c r="BD75" t="s">
        <v>1133</v>
      </c>
      <c r="BE75" t="s">
        <v>1134</v>
      </c>
      <c r="BF75" t="str">
        <v>Liquid ammonium polyphosphate</v>
      </c>
    </row>
    <row r="76" spans="16:58" x14ac:dyDescent="0.25">
      <c r="P76" t="s">
        <v>1135</v>
      </c>
      <c r="Q76" t="s">
        <v>1136</v>
      </c>
      <c r="R76" t="str">
        <v>Guar</v>
      </c>
      <c r="V76" t="s">
        <v>1750</v>
      </c>
      <c r="BD76" t="s">
        <v>1137</v>
      </c>
      <c r="BE76" t="s">
        <v>1138</v>
      </c>
      <c r="BF76" t="str">
        <v>Liquid phosphoric acid</v>
      </c>
    </row>
    <row r="77" spans="16:58" x14ac:dyDescent="0.25">
      <c r="P77" t="s">
        <v>1139</v>
      </c>
      <c r="Q77" t="s">
        <v>1140</v>
      </c>
      <c r="R77" t="str">
        <v>Guayule</v>
      </c>
      <c r="V77" t="s">
        <v>1751</v>
      </c>
      <c r="BD77" t="s">
        <v>1141</v>
      </c>
      <c r="BE77" t="s">
        <v>1142</v>
      </c>
      <c r="BF77" t="str">
        <v>Magnesia (Magnesium oxide)</v>
      </c>
    </row>
    <row r="78" spans="16:58" x14ac:dyDescent="0.25">
      <c r="P78" t="s">
        <v>1143</v>
      </c>
      <c r="Q78" t="s">
        <v>1144</v>
      </c>
      <c r="R78" t="str">
        <v>Guinea grass</v>
      </c>
      <c r="V78" t="s">
        <v>1752</v>
      </c>
      <c r="BD78" t="s">
        <v>1145</v>
      </c>
      <c r="BE78" t="s">
        <v>1146</v>
      </c>
      <c r="BF78" t="str">
        <v>Magnesium ammonium phosphate (struvite)</v>
      </c>
    </row>
    <row r="79" spans="16:58" x14ac:dyDescent="0.25">
      <c r="P79" t="s">
        <v>1147</v>
      </c>
      <c r="Q79" t="s">
        <v>1148</v>
      </c>
      <c r="R79" t="str">
        <v>Hairy vetch</v>
      </c>
      <c r="V79" t="s">
        <v>1753</v>
      </c>
      <c r="BD79" t="s">
        <v>1149</v>
      </c>
      <c r="BE79" t="s">
        <v>1150</v>
      </c>
      <c r="BF79" t="str">
        <v>Magnesium chelate</v>
      </c>
    </row>
    <row r="80" spans="16:58" x14ac:dyDescent="0.25">
      <c r="P80" t="s">
        <v>1147</v>
      </c>
      <c r="Q80" t="s">
        <v>1151</v>
      </c>
      <c r="R80" t="str">
        <v>Hazelnut</v>
      </c>
      <c r="V80" t="s">
        <v>1754</v>
      </c>
      <c r="BD80" t="s">
        <v>1152</v>
      </c>
      <c r="BE80" t="s">
        <v>1153</v>
      </c>
      <c r="BF80" t="str">
        <v>Magnesium nitrate</v>
      </c>
    </row>
    <row r="81" spans="16:58" x14ac:dyDescent="0.25">
      <c r="P81" t="s">
        <v>1154</v>
      </c>
      <c r="Q81" t="s">
        <v>1155</v>
      </c>
      <c r="R81" t="str">
        <v>Hemp</v>
      </c>
      <c r="V81" t="s">
        <v>1755</v>
      </c>
      <c r="BD81" t="s">
        <v>1156</v>
      </c>
      <c r="BE81" t="s">
        <v>1157</v>
      </c>
      <c r="BF81" t="str">
        <v>Magnesium phosphate</v>
      </c>
    </row>
    <row r="82" spans="16:58" x14ac:dyDescent="0.25">
      <c r="P82" t="s">
        <v>1158</v>
      </c>
      <c r="Q82" t="s">
        <v>1159</v>
      </c>
      <c r="R82" t="str">
        <v>Hesperaloe</v>
      </c>
      <c r="V82" t="s">
        <v>1756</v>
      </c>
      <c r="BD82" t="s">
        <v>1160</v>
      </c>
      <c r="BE82" t="s">
        <v>1161</v>
      </c>
      <c r="BF82" t="str">
        <v>Magnesium sulfate (epsom salt)</v>
      </c>
    </row>
    <row r="83" spans="16:58" x14ac:dyDescent="0.25">
      <c r="P83" t="s">
        <v>1162</v>
      </c>
      <c r="Q83" t="s">
        <v>1163</v>
      </c>
      <c r="R83" t="str">
        <v>Hops</v>
      </c>
      <c r="V83" t="s">
        <v>1757</v>
      </c>
      <c r="BD83" t="s">
        <v>1164</v>
      </c>
      <c r="BE83" t="s">
        <v>1165</v>
      </c>
      <c r="BF83" t="str">
        <v>Magnesium sulfate (Kieserite)</v>
      </c>
    </row>
    <row r="84" spans="16:58" x14ac:dyDescent="0.25">
      <c r="P84" t="s">
        <v>1166</v>
      </c>
      <c r="Q84" t="s">
        <v>1167</v>
      </c>
      <c r="R84" t="str">
        <v>Jack bean</v>
      </c>
      <c r="V84" t="s">
        <v>1758</v>
      </c>
      <c r="BD84" t="s">
        <v>1168</v>
      </c>
      <c r="BE84" t="s">
        <v>1169</v>
      </c>
      <c r="BF84" t="str">
        <v>Manganese agstone</v>
      </c>
    </row>
    <row r="85" spans="16:58" x14ac:dyDescent="0.25">
      <c r="P85" t="s">
        <v>1170</v>
      </c>
      <c r="Q85" t="s">
        <v>1171</v>
      </c>
      <c r="R85" t="str">
        <v>Jatropha</v>
      </c>
      <c r="V85" t="s">
        <v>1759</v>
      </c>
      <c r="BD85" t="s">
        <v>1172</v>
      </c>
      <c r="BE85" t="s">
        <v>1173</v>
      </c>
      <c r="BF85" t="str">
        <v>Manganese chelate</v>
      </c>
    </row>
    <row r="86" spans="16:58" x14ac:dyDescent="0.25">
      <c r="P86" t="s">
        <v>1174</v>
      </c>
      <c r="Q86" t="s">
        <v>1175</v>
      </c>
      <c r="R86" t="str">
        <v>Jute</v>
      </c>
      <c r="V86" t="s">
        <v>1760</v>
      </c>
      <c r="BD86" t="s">
        <v>1176</v>
      </c>
      <c r="BE86" t="s">
        <v>1177</v>
      </c>
      <c r="BF86" t="str">
        <v>Manganese oxide</v>
      </c>
    </row>
    <row r="87" spans="16:58" x14ac:dyDescent="0.25">
      <c r="P87" t="s">
        <v>1178</v>
      </c>
      <c r="Q87" t="s">
        <v>1179</v>
      </c>
      <c r="R87" t="str">
        <v>Kenaf</v>
      </c>
      <c r="V87" t="s">
        <v>1761</v>
      </c>
      <c r="BD87" t="s">
        <v>1180</v>
      </c>
      <c r="BE87" t="s">
        <v>1181</v>
      </c>
      <c r="BF87" t="str">
        <v>Manganese slag</v>
      </c>
    </row>
    <row r="88" spans="16:58" x14ac:dyDescent="0.25">
      <c r="P88" t="s">
        <v>1182</v>
      </c>
      <c r="Q88" t="s">
        <v>1183</v>
      </c>
      <c r="R88" t="str">
        <v>Lablab</v>
      </c>
      <c r="V88" t="s">
        <v>1762</v>
      </c>
      <c r="BD88" t="s">
        <v>1184</v>
      </c>
      <c r="BE88" t="s">
        <v>1185</v>
      </c>
      <c r="BF88" t="str">
        <v>Manganese sulfate</v>
      </c>
    </row>
    <row r="89" spans="16:58" x14ac:dyDescent="0.25">
      <c r="P89" t="s">
        <v>1186</v>
      </c>
      <c r="Q89" t="s">
        <v>1187</v>
      </c>
      <c r="R89" t="str">
        <v>Leek</v>
      </c>
      <c r="V89" t="s">
        <v>1763</v>
      </c>
      <c r="BD89" t="s">
        <v>1188</v>
      </c>
      <c r="BE89" t="s">
        <v>1189</v>
      </c>
      <c r="BF89" t="str">
        <v>Manganous oxide</v>
      </c>
    </row>
    <row r="90" spans="16:58" x14ac:dyDescent="0.25">
      <c r="P90" t="s">
        <v>1190</v>
      </c>
      <c r="Q90" t="s">
        <v>1191</v>
      </c>
      <c r="R90" t="str">
        <v>Legume-unknown or mixture</v>
      </c>
      <c r="V90" t="s">
        <v>1764</v>
      </c>
      <c r="BD90" t="s">
        <v>1192</v>
      </c>
      <c r="BE90" t="s">
        <v>1193</v>
      </c>
      <c r="BF90" t="str">
        <v>Manure salts</v>
      </c>
    </row>
    <row r="91" spans="16:58" x14ac:dyDescent="0.25">
      <c r="P91" t="s">
        <v>1194</v>
      </c>
      <c r="Q91" t="s">
        <v>1195</v>
      </c>
      <c r="R91" t="str">
        <v>Lentil</v>
      </c>
      <c r="V91" t="s">
        <v>1765</v>
      </c>
      <c r="BD91" t="s">
        <v>1196</v>
      </c>
      <c r="BE91" t="s">
        <v>1197</v>
      </c>
      <c r="BF91" t="str">
        <v>Methylene ureas</v>
      </c>
    </row>
    <row r="92" spans="16:58" x14ac:dyDescent="0.25">
      <c r="P92" t="s">
        <v>1198</v>
      </c>
      <c r="Q92" t="s">
        <v>1199</v>
      </c>
      <c r="R92" t="str">
        <v>Lettuce</v>
      </c>
      <c r="V92" t="s">
        <v>1766</v>
      </c>
      <c r="BD92" t="s">
        <v>1200</v>
      </c>
      <c r="BE92" t="s">
        <v>1201</v>
      </c>
      <c r="BF92" t="str">
        <v>Mono potassium phosphate (MKP)</v>
      </c>
    </row>
    <row r="93" spans="16:58" x14ac:dyDescent="0.25">
      <c r="P93" t="s">
        <v>1202</v>
      </c>
      <c r="Q93" t="s">
        <v>1203</v>
      </c>
      <c r="R93" t="str">
        <v>Licorice</v>
      </c>
      <c r="V93" t="s">
        <v>1767</v>
      </c>
      <c r="BD93" t="s">
        <v>1204</v>
      </c>
      <c r="BE93" t="s">
        <v>1205</v>
      </c>
      <c r="BF93" t="str">
        <v>Monoammonium phosphate (MAP)</v>
      </c>
    </row>
    <row r="94" spans="16:58" x14ac:dyDescent="0.25">
      <c r="P94" t="s">
        <v>1206</v>
      </c>
      <c r="Q94" t="s">
        <v>1207</v>
      </c>
      <c r="R94" t="str">
        <v>Lima bean</v>
      </c>
      <c r="V94" t="s">
        <v>1768</v>
      </c>
      <c r="BD94" t="s">
        <v>1208</v>
      </c>
      <c r="BE94" t="s">
        <v>1209</v>
      </c>
      <c r="BF94" t="str">
        <v>NBTPT</v>
      </c>
    </row>
    <row r="95" spans="16:58" x14ac:dyDescent="0.25">
      <c r="P95" t="s">
        <v>1210</v>
      </c>
      <c r="Q95" t="s">
        <v>1211</v>
      </c>
      <c r="R95" t="str">
        <v>Macadamia nut</v>
      </c>
      <c r="V95" t="s">
        <v>1769</v>
      </c>
      <c r="BD95" t="s">
        <v>1212</v>
      </c>
      <c r="BE95" t="s">
        <v>1213</v>
      </c>
      <c r="BF95" t="str">
        <v>Nitric acid</v>
      </c>
    </row>
    <row r="96" spans="16:58" x14ac:dyDescent="0.25">
      <c r="P96" t="s">
        <v>1214</v>
      </c>
      <c r="Q96" t="s">
        <v>1215</v>
      </c>
      <c r="R96" t="str">
        <v>Maize</v>
      </c>
      <c r="V96" t="s">
        <v>1770</v>
      </c>
      <c r="BD96" t="s">
        <v>1216</v>
      </c>
      <c r="BE96" t="s">
        <v>1217</v>
      </c>
      <c r="BF96" t="str">
        <v>Nitric phosphate</v>
      </c>
    </row>
    <row r="97" spans="16:58" x14ac:dyDescent="0.25">
      <c r="P97" t="s">
        <v>1218</v>
      </c>
      <c r="Q97" t="s">
        <v>1219</v>
      </c>
      <c r="R97" t="str">
        <v>Mung bean</v>
      </c>
      <c r="V97" t="s">
        <v>1771</v>
      </c>
      <c r="BD97" t="s">
        <v>1220</v>
      </c>
      <c r="BE97" t="s">
        <v>1221</v>
      </c>
      <c r="BF97" t="str">
        <v>NPK - ammonium nitrate</v>
      </c>
    </row>
    <row r="98" spans="16:58" x14ac:dyDescent="0.25">
      <c r="P98" t="s">
        <v>1222</v>
      </c>
      <c r="Q98" t="s">
        <v>1223</v>
      </c>
      <c r="R98" t="str">
        <v>Napier grass</v>
      </c>
      <c r="V98" t="s">
        <v>1772</v>
      </c>
      <c r="BD98" t="s">
        <v>1224</v>
      </c>
      <c r="BE98" t="s">
        <v>1225</v>
      </c>
      <c r="BF98" t="str">
        <v>NPK - ammonium nitrate urea</v>
      </c>
    </row>
    <row r="99" spans="16:58" x14ac:dyDescent="0.25">
      <c r="P99" t="s">
        <v>1226</v>
      </c>
      <c r="Q99" t="s">
        <v>1227</v>
      </c>
      <c r="R99" t="str">
        <v>Nopal</v>
      </c>
      <c r="V99" t="s">
        <v>1773</v>
      </c>
      <c r="BD99" t="s">
        <v>1228</v>
      </c>
      <c r="BE99" t="s">
        <v>1229</v>
      </c>
      <c r="BF99" t="str">
        <v>NPK - urea</v>
      </c>
    </row>
    <row r="100" spans="16:58" x14ac:dyDescent="0.25">
      <c r="P100" t="s">
        <v>1230</v>
      </c>
      <c r="Q100" t="s">
        <v>1231</v>
      </c>
      <c r="R100" t="str">
        <v>Oats</v>
      </c>
      <c r="V100" t="s">
        <v>1774</v>
      </c>
      <c r="BD100" t="s">
        <v>1232</v>
      </c>
      <c r="BE100" t="s">
        <v>1233</v>
      </c>
      <c r="BF100" t="str">
        <v>NPK - user blend</v>
      </c>
    </row>
    <row r="101" spans="16:58" x14ac:dyDescent="0.25">
      <c r="P101" t="s">
        <v>1234</v>
      </c>
      <c r="Q101" t="s">
        <v>1235</v>
      </c>
      <c r="R101" t="str">
        <v>Oil palm</v>
      </c>
      <c r="V101" t="s">
        <v>1775</v>
      </c>
      <c r="BD101" t="s">
        <v>1236</v>
      </c>
      <c r="BE101" t="s">
        <v>1237</v>
      </c>
      <c r="BF101" t="str">
        <v>Potash suspensions</v>
      </c>
    </row>
    <row r="102" spans="16:58" x14ac:dyDescent="0.25">
      <c r="P102" t="s">
        <v>1238</v>
      </c>
      <c r="Q102" t="s">
        <v>1239</v>
      </c>
      <c r="R102" t="str">
        <v>Okra</v>
      </c>
      <c r="V102" t="s">
        <v>1776</v>
      </c>
      <c r="BD102" t="s">
        <v>1240</v>
      </c>
      <c r="BE102" t="s">
        <v>1241</v>
      </c>
      <c r="BF102" t="str">
        <v>Potassium - sodium nitrate</v>
      </c>
    </row>
    <row r="103" spans="16:58" x14ac:dyDescent="0.25">
      <c r="P103" t="s">
        <v>1242</v>
      </c>
      <c r="Q103" t="s">
        <v>1243</v>
      </c>
      <c r="R103" t="str">
        <v>Olives</v>
      </c>
      <c r="V103" t="s">
        <v>1777</v>
      </c>
      <c r="BD103" t="s">
        <v>1244</v>
      </c>
      <c r="BE103" t="s">
        <v>1245</v>
      </c>
      <c r="BF103" t="str">
        <v>Potassium carbonate K2CO3 liquid</v>
      </c>
    </row>
    <row r="104" spans="16:58" x14ac:dyDescent="0.25">
      <c r="P104" t="s">
        <v>1246</v>
      </c>
      <c r="Q104" t="s">
        <v>1247</v>
      </c>
      <c r="R104" t="str">
        <v>Onion</v>
      </c>
      <c r="V104" t="s">
        <v>1778</v>
      </c>
      <c r="BD104" t="s">
        <v>1248</v>
      </c>
      <c r="BE104" t="s">
        <v>1249</v>
      </c>
      <c r="BF104" t="str">
        <v>Potassium carbonate K2CO3 solid</v>
      </c>
    </row>
    <row r="105" spans="16:58" x14ac:dyDescent="0.25">
      <c r="P105" t="s">
        <v>1250</v>
      </c>
      <c r="Q105" t="s">
        <v>1251</v>
      </c>
      <c r="R105" t="str">
        <v>Other</v>
      </c>
      <c r="V105" t="s">
        <v>1779</v>
      </c>
      <c r="BD105" t="s">
        <v>1252</v>
      </c>
      <c r="BE105" t="s">
        <v>1253</v>
      </c>
      <c r="BF105" t="str">
        <v>Potassium chloride (muriate of potash, MOP)</v>
      </c>
    </row>
    <row r="106" spans="16:58" x14ac:dyDescent="0.25">
      <c r="P106" t="s">
        <v>1254</v>
      </c>
      <c r="Q106" t="s">
        <v>1255</v>
      </c>
      <c r="R106" t="str">
        <v>Pak choi</v>
      </c>
      <c r="V106" t="s">
        <v>1780</v>
      </c>
      <c r="BD106" t="s">
        <v>1256</v>
      </c>
      <c r="BE106" t="s">
        <v>1257</v>
      </c>
      <c r="BF106" t="str">
        <v>Potassium magnesium sulfate**</v>
      </c>
    </row>
    <row r="107" spans="16:58" x14ac:dyDescent="0.25">
      <c r="P107" t="s">
        <v>1258</v>
      </c>
      <c r="Q107" t="s">
        <v>1259</v>
      </c>
      <c r="R107" t="str">
        <v>Papaya</v>
      </c>
      <c r="V107" t="s">
        <v>1781</v>
      </c>
      <c r="BD107" t="s">
        <v>1260</v>
      </c>
      <c r="BE107" t="s">
        <v>1261</v>
      </c>
      <c r="BF107" t="str">
        <v>Potassium metaphosphate</v>
      </c>
    </row>
    <row r="108" spans="16:58" x14ac:dyDescent="0.25">
      <c r="P108" t="s">
        <v>1262</v>
      </c>
      <c r="Q108" t="s">
        <v>1263</v>
      </c>
      <c r="R108" t="str">
        <v>Parsley</v>
      </c>
      <c r="V108" t="s">
        <v>1782</v>
      </c>
      <c r="BD108" t="s">
        <v>1264</v>
      </c>
      <c r="BE108" t="s">
        <v>1265</v>
      </c>
      <c r="BF108" t="str">
        <v>Potassium nitrate (nitrate of potash)</v>
      </c>
    </row>
    <row r="109" spans="16:58" x14ac:dyDescent="0.25">
      <c r="P109" t="s">
        <v>1266</v>
      </c>
      <c r="Q109" t="s">
        <v>1267</v>
      </c>
      <c r="R109" t="str">
        <v>Parsnip</v>
      </c>
      <c r="V109" t="s">
        <v>1783</v>
      </c>
      <c r="BD109" t="s">
        <v>1268</v>
      </c>
      <c r="BE109" t="s">
        <v>1269</v>
      </c>
      <c r="BF109" t="str">
        <v>Potassium sulfate</v>
      </c>
    </row>
    <row r="110" spans="16:58" x14ac:dyDescent="0.25">
      <c r="P110" t="s">
        <v>1270</v>
      </c>
      <c r="Q110" t="s">
        <v>1271</v>
      </c>
      <c r="R110" t="str">
        <v>Pea</v>
      </c>
      <c r="V110" t="s">
        <v>1784</v>
      </c>
      <c r="BD110" t="s">
        <v>1272</v>
      </c>
      <c r="BE110" t="s">
        <v>1273</v>
      </c>
      <c r="BF110" t="str">
        <v>Precipitated phosphate</v>
      </c>
    </row>
    <row r="111" spans="16:58" x14ac:dyDescent="0.25">
      <c r="P111" t="s">
        <v>1274</v>
      </c>
      <c r="Q111" t="s">
        <v>1275</v>
      </c>
      <c r="R111" t="str">
        <v>Peanut</v>
      </c>
      <c r="V111" t="s">
        <v>1785</v>
      </c>
      <c r="BD111" t="s">
        <v>1276</v>
      </c>
      <c r="BE111" t="s">
        <v>1277</v>
      </c>
      <c r="BF111" t="str">
        <v>Rhizobium</v>
      </c>
    </row>
    <row r="112" spans="16:58" x14ac:dyDescent="0.25">
      <c r="P112" t="s">
        <v>1278</v>
      </c>
      <c r="Q112" t="s">
        <v>1279</v>
      </c>
      <c r="R112" t="str">
        <v>Pear</v>
      </c>
      <c r="V112" t="s">
        <v>1786</v>
      </c>
      <c r="BD112" t="s">
        <v>1280</v>
      </c>
      <c r="BE112" t="s">
        <v>1281</v>
      </c>
      <c r="BF112" t="str">
        <v>Rock phosphate</v>
      </c>
    </row>
    <row r="113" spans="16:58" x14ac:dyDescent="0.25">
      <c r="P113" t="s">
        <v>1282</v>
      </c>
      <c r="Q113" t="s">
        <v>1283</v>
      </c>
      <c r="R113" t="str">
        <v>Pearl millet</v>
      </c>
      <c r="V113" t="s">
        <v>1787</v>
      </c>
      <c r="BD113" t="s">
        <v>1284</v>
      </c>
      <c r="BE113" t="s">
        <v>1285</v>
      </c>
      <c r="BF113" t="str">
        <v>Selma chalk</v>
      </c>
    </row>
    <row r="114" spans="16:58" x14ac:dyDescent="0.25">
      <c r="P114" t="s">
        <v>1286</v>
      </c>
      <c r="Q114" t="s">
        <v>1287</v>
      </c>
      <c r="R114" t="str">
        <v>Pecan</v>
      </c>
      <c r="V114" t="s">
        <v>1788</v>
      </c>
      <c r="BD114" t="s">
        <v>1288</v>
      </c>
      <c r="BE114" t="s">
        <v>1289</v>
      </c>
      <c r="BF114" t="str">
        <v>Single super phosphate</v>
      </c>
    </row>
    <row r="115" spans="16:58" x14ac:dyDescent="0.25">
      <c r="P115" t="s">
        <v>1290</v>
      </c>
      <c r="Q115" t="s">
        <v>1291</v>
      </c>
      <c r="R115" t="str">
        <v>Perennial peanut</v>
      </c>
      <c r="V115" t="s">
        <v>1789</v>
      </c>
      <c r="BD115" t="s">
        <v>1292</v>
      </c>
      <c r="BE115" t="s">
        <v>1293</v>
      </c>
      <c r="BF115" t="str">
        <v>Sodium molybdonate</v>
      </c>
    </row>
    <row r="116" spans="16:58" x14ac:dyDescent="0.25">
      <c r="P116" t="s">
        <v>1294</v>
      </c>
      <c r="Q116" t="s">
        <v>1295</v>
      </c>
      <c r="R116" t="str">
        <v>Perennial ryegrass</v>
      </c>
      <c r="V116" t="s">
        <v>1790</v>
      </c>
      <c r="BD116" t="s">
        <v>1296</v>
      </c>
      <c r="BE116" t="s">
        <v>1297</v>
      </c>
      <c r="BF116" t="str">
        <v>Sodium nitrate</v>
      </c>
    </row>
    <row r="117" spans="16:58" x14ac:dyDescent="0.25">
      <c r="P117" t="s">
        <v>1298</v>
      </c>
      <c r="Q117" t="s">
        <v>1299</v>
      </c>
      <c r="R117" t="str">
        <v>Persimmon</v>
      </c>
      <c r="V117" t="s">
        <v>1791</v>
      </c>
      <c r="BD117" t="s">
        <v>1300</v>
      </c>
      <c r="BE117" t="s">
        <v>1301</v>
      </c>
      <c r="BF117" t="str">
        <v>Sulfur coated urea (thick coat)</v>
      </c>
    </row>
    <row r="118" spans="16:58" x14ac:dyDescent="0.25">
      <c r="P118" t="s">
        <v>1302</v>
      </c>
      <c r="Q118" t="s">
        <v>1303</v>
      </c>
      <c r="R118" t="str">
        <v>Pigeon pea</v>
      </c>
      <c r="V118" t="s">
        <v>1792</v>
      </c>
      <c r="BD118" t="s">
        <v>1304</v>
      </c>
      <c r="BE118" t="s">
        <v>1305</v>
      </c>
      <c r="BF118" t="str">
        <v>Sulfur coated urea (thin coat)</v>
      </c>
    </row>
    <row r="119" spans="16:58" x14ac:dyDescent="0.25">
      <c r="P119" t="s">
        <v>1306</v>
      </c>
      <c r="Q119" t="s">
        <v>1307</v>
      </c>
      <c r="R119" t="str">
        <v>Pineapple</v>
      </c>
      <c r="V119" t="s">
        <v>1793</v>
      </c>
      <c r="BD119" t="s">
        <v>1308</v>
      </c>
      <c r="BE119" t="s">
        <v>1309</v>
      </c>
      <c r="BF119" t="str">
        <v>Sulfuric acid</v>
      </c>
    </row>
    <row r="120" spans="16:58" x14ac:dyDescent="0.25">
      <c r="P120" t="s">
        <v>1310</v>
      </c>
      <c r="Q120" t="s">
        <v>1311</v>
      </c>
      <c r="R120" t="str">
        <v>Pistachio</v>
      </c>
      <c r="V120" t="s">
        <v>1794</v>
      </c>
      <c r="BD120" t="s">
        <v>1312</v>
      </c>
      <c r="BE120" t="s">
        <v>1313</v>
      </c>
      <c r="BF120" t="str">
        <v>Superphosphate, enriched</v>
      </c>
    </row>
    <row r="121" spans="16:58" x14ac:dyDescent="0.25">
      <c r="P121" t="s">
        <v>1314</v>
      </c>
      <c r="Q121" t="s">
        <v>1315</v>
      </c>
      <c r="R121" t="str">
        <v>Pitaya</v>
      </c>
      <c r="V121" t="s">
        <v>1795</v>
      </c>
      <c r="BD121" t="s">
        <v>1316</v>
      </c>
      <c r="BE121" t="s">
        <v>1317</v>
      </c>
      <c r="BF121" t="str">
        <v>Superphosphoric acid</v>
      </c>
    </row>
    <row r="122" spans="16:58" x14ac:dyDescent="0.25">
      <c r="P122" t="s">
        <v>1318</v>
      </c>
      <c r="Q122" t="s">
        <v>1319</v>
      </c>
      <c r="R122" t="str">
        <v>Plum</v>
      </c>
      <c r="V122" t="s">
        <v>1796</v>
      </c>
      <c r="BD122" t="s">
        <v>1320</v>
      </c>
      <c r="BE122" t="s">
        <v>1321</v>
      </c>
      <c r="BF122" t="str">
        <v>SuperU</v>
      </c>
    </row>
    <row r="123" spans="16:58" x14ac:dyDescent="0.25">
      <c r="P123" t="s">
        <v>1322</v>
      </c>
      <c r="Q123" t="s">
        <v>1323</v>
      </c>
      <c r="R123" t="str">
        <v>Poplar</v>
      </c>
      <c r="V123" t="s">
        <v>1797</v>
      </c>
      <c r="BD123" t="s">
        <v>1324</v>
      </c>
      <c r="BE123" t="s">
        <v>1325</v>
      </c>
      <c r="BF123" t="str">
        <v>Triple super phosphate (TSP)</v>
      </c>
    </row>
    <row r="124" spans="16:58" x14ac:dyDescent="0.25">
      <c r="P124" t="s">
        <v>1326</v>
      </c>
      <c r="Q124" t="s">
        <v>1327</v>
      </c>
      <c r="R124" t="str">
        <v>Potato</v>
      </c>
      <c r="V124" t="s">
        <v>1798</v>
      </c>
      <c r="BD124" t="s">
        <v>1328</v>
      </c>
      <c r="BE124" t="s">
        <v>1329</v>
      </c>
      <c r="BF124" t="str">
        <v>Urea</v>
      </c>
    </row>
    <row r="125" spans="16:58" x14ac:dyDescent="0.25">
      <c r="P125" t="s">
        <v>1330</v>
      </c>
      <c r="Q125" t="s">
        <v>1331</v>
      </c>
      <c r="R125" t="str">
        <v>Proso millet</v>
      </c>
      <c r="V125" t="s">
        <v>1799</v>
      </c>
      <c r="BD125" t="s">
        <v>1332</v>
      </c>
      <c r="BE125" t="s">
        <v>1333</v>
      </c>
      <c r="BF125" t="str">
        <v>Urea ammonium nitrate</v>
      </c>
    </row>
    <row r="126" spans="16:58" x14ac:dyDescent="0.25">
      <c r="P126" t="s">
        <v>1334</v>
      </c>
      <c r="Q126" t="s">
        <v>1335</v>
      </c>
      <c r="R126" t="str">
        <v>Pumpkin</v>
      </c>
      <c r="V126" t="s">
        <v>1800</v>
      </c>
      <c r="BD126" t="s">
        <v>1336</v>
      </c>
      <c r="BE126" t="s">
        <v>1337</v>
      </c>
      <c r="BF126" t="str">
        <v>Urea ammonium phosphate</v>
      </c>
    </row>
    <row r="127" spans="16:58" x14ac:dyDescent="0.25">
      <c r="P127" t="s">
        <v>1338</v>
      </c>
      <c r="Q127" t="s">
        <v>1339</v>
      </c>
      <c r="R127" t="str">
        <v>Quinoa</v>
      </c>
      <c r="V127" t="s">
        <v>1801</v>
      </c>
      <c r="BD127" t="s">
        <v>1340</v>
      </c>
      <c r="BE127" t="s">
        <v>1341</v>
      </c>
      <c r="BF127" t="str">
        <v>Urea ammonium sulfate</v>
      </c>
    </row>
    <row r="128" spans="16:58" x14ac:dyDescent="0.25">
      <c r="P128" t="s">
        <v>1342</v>
      </c>
      <c r="Q128" t="s">
        <v>1343</v>
      </c>
      <c r="R128" t="str">
        <v>Radish</v>
      </c>
      <c r="V128" t="s">
        <v>1802</v>
      </c>
      <c r="BD128" t="s">
        <v>1344</v>
      </c>
      <c r="BE128" t="s">
        <v>1345</v>
      </c>
      <c r="BF128" t="str">
        <v>Urea phosphate</v>
      </c>
    </row>
    <row r="129" spans="16:58" x14ac:dyDescent="0.25">
      <c r="P129" t="s">
        <v>1346</v>
      </c>
      <c r="Q129" t="s">
        <v>1347</v>
      </c>
      <c r="R129" t="str">
        <v>Rape</v>
      </c>
      <c r="V129" t="s">
        <v>1803</v>
      </c>
      <c r="BD129" t="s">
        <v>1348</v>
      </c>
      <c r="BE129" t="s">
        <v>1349</v>
      </c>
      <c r="BF129" t="str">
        <v>Urea solution</v>
      </c>
    </row>
    <row r="130" spans="16:58" x14ac:dyDescent="0.25">
      <c r="P130" t="s">
        <v>1350</v>
      </c>
      <c r="Q130" t="s">
        <v>1351</v>
      </c>
      <c r="R130" t="str">
        <v>Red clover</v>
      </c>
      <c r="V130" t="s">
        <v>1804</v>
      </c>
      <c r="BD130" t="s">
        <v>1352</v>
      </c>
      <c r="BE130" t="s">
        <v>1353</v>
      </c>
      <c r="BF130" t="str">
        <v>Urea super granules</v>
      </c>
    </row>
    <row r="131" spans="16:58" x14ac:dyDescent="0.25">
      <c r="P131" t="s">
        <v>1354</v>
      </c>
      <c r="Q131" t="s">
        <v>1355</v>
      </c>
      <c r="R131" t="str">
        <v>Red fescue</v>
      </c>
      <c r="V131" t="s">
        <v>1805</v>
      </c>
      <c r="BD131" t="s">
        <v>1356</v>
      </c>
      <c r="BE131" t="s">
        <v>1357</v>
      </c>
      <c r="BF131" t="str">
        <v>Ureaform (urea + formaldehyde)</v>
      </c>
    </row>
    <row r="132" spans="16:58" x14ac:dyDescent="0.25">
      <c r="P132" t="s">
        <v>1358</v>
      </c>
      <c r="Q132" t="s">
        <v>1359</v>
      </c>
      <c r="R132" t="str">
        <v>Rhizoma peanut</v>
      </c>
      <c r="V132" t="s">
        <v>1806</v>
      </c>
      <c r="BD132" t="s">
        <v>1360</v>
      </c>
      <c r="BE132" t="s">
        <v>1361</v>
      </c>
      <c r="BF132" t="str">
        <v>Wettable S</v>
      </c>
    </row>
    <row r="133" spans="16:58" x14ac:dyDescent="0.25">
      <c r="P133" t="s">
        <v>1362</v>
      </c>
      <c r="Q133" t="s">
        <v>1363</v>
      </c>
      <c r="R133" t="str">
        <v>Rice</v>
      </c>
      <c r="V133" t="s">
        <v>1807</v>
      </c>
      <c r="BD133" t="s">
        <v>1364</v>
      </c>
      <c r="BE133" t="s">
        <v>1365</v>
      </c>
      <c r="BF133" t="str">
        <v>Zinc ammonium sulfate solution</v>
      </c>
    </row>
    <row r="134" spans="16:58" x14ac:dyDescent="0.25">
      <c r="P134" t="s">
        <v>1366</v>
      </c>
      <c r="Q134" t="s">
        <v>1367</v>
      </c>
      <c r="R134" t="str">
        <v>Rye</v>
      </c>
      <c r="V134" t="s">
        <v>1808</v>
      </c>
      <c r="BD134" t="s">
        <v>1368</v>
      </c>
      <c r="BE134" t="s">
        <v>1369</v>
      </c>
      <c r="BF134" t="str">
        <v>Zinc carbonate</v>
      </c>
    </row>
    <row r="135" spans="16:58" x14ac:dyDescent="0.25">
      <c r="P135" t="s">
        <v>1370</v>
      </c>
      <c r="Q135" t="s">
        <v>1371</v>
      </c>
      <c r="R135" t="str">
        <v>Safflower</v>
      </c>
      <c r="V135" t="s">
        <v>1809</v>
      </c>
      <c r="BD135" t="s">
        <v>1372</v>
      </c>
      <c r="BE135" t="s">
        <v>1373</v>
      </c>
      <c r="BF135" t="str">
        <v>Zinc chloride</v>
      </c>
    </row>
    <row r="136" spans="16:58" x14ac:dyDescent="0.25">
      <c r="P136" t="s">
        <v>1374</v>
      </c>
      <c r="Q136" t="s">
        <v>1375</v>
      </c>
      <c r="R136" t="str">
        <v>Sesame</v>
      </c>
      <c r="V136" t="s">
        <v>1810</v>
      </c>
      <c r="BD136" t="s">
        <v>1376</v>
      </c>
      <c r="BE136" t="s">
        <v>1377</v>
      </c>
      <c r="BF136" t="str">
        <v>Zinc manganese ammonium sulfate</v>
      </c>
    </row>
    <row r="137" spans="16:58" x14ac:dyDescent="0.25">
      <c r="P137" t="s">
        <v>1378</v>
      </c>
      <c r="Q137" t="s">
        <v>1379</v>
      </c>
      <c r="R137" t="str">
        <v>Shallot</v>
      </c>
      <c r="V137" t="s">
        <v>1811</v>
      </c>
      <c r="BD137" t="s">
        <v>1380</v>
      </c>
      <c r="BE137" t="s">
        <v>1381</v>
      </c>
      <c r="BF137" t="str">
        <v>Zinc nitrate</v>
      </c>
    </row>
    <row r="138" spans="16:58" x14ac:dyDescent="0.25">
      <c r="P138" t="s">
        <v>1382</v>
      </c>
      <c r="Q138" t="s">
        <v>1383</v>
      </c>
      <c r="R138" t="str">
        <v>Shrubs/trees</v>
      </c>
      <c r="V138" t="s">
        <v>1812</v>
      </c>
      <c r="BD138" t="s">
        <v>1384</v>
      </c>
      <c r="BE138" t="s">
        <v>1385</v>
      </c>
      <c r="BF138" t="str">
        <v>Zinc oxide</v>
      </c>
    </row>
    <row r="139" spans="16:58" x14ac:dyDescent="0.25">
      <c r="P139" t="s">
        <v>1386</v>
      </c>
      <c r="Q139" t="s">
        <v>1387</v>
      </c>
      <c r="R139" t="str">
        <v>Sorghum</v>
      </c>
      <c r="V139" t="s">
        <v>1813</v>
      </c>
      <c r="BD139" t="s">
        <v>1388</v>
      </c>
      <c r="BE139" t="s">
        <v>1389</v>
      </c>
      <c r="BF139" t="str">
        <v>Zinc oxysulfate</v>
      </c>
    </row>
    <row r="140" spans="16:58" x14ac:dyDescent="0.25">
      <c r="P140" t="s">
        <v>1390</v>
      </c>
      <c r="Q140" t="s">
        <v>1391</v>
      </c>
      <c r="R140" t="str">
        <v>Soybean</v>
      </c>
      <c r="V140" t="s">
        <v>1814</v>
      </c>
      <c r="BD140" t="s">
        <v>1392</v>
      </c>
      <c r="BE140" t="s">
        <v>1393</v>
      </c>
      <c r="BF140" t="str">
        <v>Zinc phosphate</v>
      </c>
    </row>
    <row r="141" spans="16:58" x14ac:dyDescent="0.25">
      <c r="P141" t="s">
        <v>1394</v>
      </c>
      <c r="Q141" t="s">
        <v>1395</v>
      </c>
      <c r="R141" t="str">
        <v>Spinach</v>
      </c>
      <c r="V141" t="s">
        <v>1815</v>
      </c>
      <c r="BD141" t="s">
        <v>1396</v>
      </c>
      <c r="BE141" t="s">
        <v>1397</v>
      </c>
      <c r="BF141" t="str">
        <v>Zinc sulfate heptahydrate</v>
      </c>
    </row>
    <row r="142" spans="16:58" x14ac:dyDescent="0.25">
      <c r="P142" t="s">
        <v>1398</v>
      </c>
      <c r="Q142" t="s">
        <v>1399</v>
      </c>
      <c r="R142" t="str">
        <v>Stevia</v>
      </c>
      <c r="V142" t="s">
        <v>1816</v>
      </c>
      <c r="BD142" t="s">
        <v>1400</v>
      </c>
      <c r="BE142" t="s">
        <v>1401</v>
      </c>
      <c r="BF142" t="str">
        <v>Zinc sulfate monohydrate</v>
      </c>
    </row>
    <row r="143" spans="16:58" x14ac:dyDescent="0.25">
      <c r="P143" t="s">
        <v>1402</v>
      </c>
      <c r="Q143" t="s">
        <v>1403</v>
      </c>
      <c r="R143" t="str">
        <v>Strawberry</v>
      </c>
      <c r="V143" t="s">
        <v>1817</v>
      </c>
      <c r="BD143" t="s">
        <v>1404</v>
      </c>
      <c r="BE143" t="s">
        <v>1405</v>
      </c>
      <c r="BF143" t="str">
        <v>Zonc frits</v>
      </c>
    </row>
    <row r="144" spans="16:58" x14ac:dyDescent="0.25">
      <c r="P144" t="s">
        <v>1406</v>
      </c>
      <c r="Q144" t="s">
        <v>1407</v>
      </c>
      <c r="R144" t="str">
        <v>Sugar beet</v>
      </c>
      <c r="V144" t="s">
        <v>1818</v>
      </c>
    </row>
    <row r="145" spans="16:22" x14ac:dyDescent="0.25">
      <c r="P145" t="s">
        <v>1408</v>
      </c>
      <c r="Q145" t="s">
        <v>1409</v>
      </c>
      <c r="R145" t="str">
        <v>Sugarcane</v>
      </c>
      <c r="V145" t="s">
        <v>1819</v>
      </c>
    </row>
    <row r="146" spans="16:22" x14ac:dyDescent="0.25">
      <c r="P146" t="s">
        <v>1410</v>
      </c>
      <c r="Q146" t="s">
        <v>1411</v>
      </c>
      <c r="R146" t="str">
        <v>Summer squash</v>
      </c>
      <c r="V146" t="s">
        <v>1820</v>
      </c>
    </row>
    <row r="147" spans="16:22" x14ac:dyDescent="0.25">
      <c r="P147" t="s">
        <v>1412</v>
      </c>
      <c r="Q147" t="s">
        <v>1413</v>
      </c>
      <c r="R147" t="str">
        <v>Sunflower</v>
      </c>
      <c r="V147" t="s">
        <v>1821</v>
      </c>
    </row>
    <row r="148" spans="16:22" x14ac:dyDescent="0.25">
      <c r="P148" t="s">
        <v>1414</v>
      </c>
      <c r="Q148" t="s">
        <v>1415</v>
      </c>
      <c r="R148" t="str">
        <v>Sweet corn</v>
      </c>
      <c r="V148" t="s">
        <v>1822</v>
      </c>
    </row>
    <row r="149" spans="16:22" x14ac:dyDescent="0.25">
      <c r="P149" t="s">
        <v>1416</v>
      </c>
      <c r="Q149" t="s">
        <v>1417</v>
      </c>
      <c r="R149" t="str">
        <v>Sweet potato</v>
      </c>
      <c r="V149" t="s">
        <v>1823</v>
      </c>
    </row>
    <row r="150" spans="16:22" x14ac:dyDescent="0.25">
      <c r="P150" t="s">
        <v>1418</v>
      </c>
      <c r="Q150" t="s">
        <v>1419</v>
      </c>
      <c r="R150" t="str">
        <v>Switch grass</v>
      </c>
      <c r="V150" t="s">
        <v>1824</v>
      </c>
    </row>
    <row r="151" spans="16:22" x14ac:dyDescent="0.25">
      <c r="P151" t="s">
        <v>1420</v>
      </c>
      <c r="Q151" t="s">
        <v>1421</v>
      </c>
      <c r="R151" t="str">
        <v>Table grape</v>
      </c>
      <c r="V151" t="s">
        <v>1825</v>
      </c>
    </row>
    <row r="152" spans="16:22" x14ac:dyDescent="0.25">
      <c r="P152" t="s">
        <v>1422</v>
      </c>
      <c r="Q152" t="s">
        <v>1423</v>
      </c>
      <c r="R152" t="str">
        <v>Tall fescue</v>
      </c>
      <c r="V152" t="s">
        <v>1826</v>
      </c>
    </row>
    <row r="153" spans="16:22" x14ac:dyDescent="0.25">
      <c r="P153" t="s">
        <v>1424</v>
      </c>
      <c r="Q153" t="s">
        <v>1425</v>
      </c>
      <c r="R153" t="str">
        <v>Tannier</v>
      </c>
      <c r="V153" t="s">
        <v>1827</v>
      </c>
    </row>
    <row r="154" spans="16:22" x14ac:dyDescent="0.25">
      <c r="P154" t="s">
        <v>1426</v>
      </c>
      <c r="Q154" t="s">
        <v>1427</v>
      </c>
      <c r="R154" t="str">
        <v>Taro</v>
      </c>
      <c r="V154" t="s">
        <v>1828</v>
      </c>
    </row>
    <row r="155" spans="16:22" x14ac:dyDescent="0.25">
      <c r="P155" t="s">
        <v>1428</v>
      </c>
      <c r="Q155" t="s">
        <v>1429</v>
      </c>
      <c r="R155" t="str">
        <v>Tea</v>
      </c>
      <c r="V155" t="s">
        <v>1829</v>
      </c>
    </row>
    <row r="156" spans="16:22" x14ac:dyDescent="0.25">
      <c r="P156" t="s">
        <v>1430</v>
      </c>
      <c r="Q156" t="s">
        <v>1431</v>
      </c>
      <c r="R156" t="str">
        <v>Teff</v>
      </c>
      <c r="V156" t="s">
        <v>1830</v>
      </c>
    </row>
    <row r="157" spans="16:22" x14ac:dyDescent="0.25">
      <c r="P157" t="s">
        <v>1432</v>
      </c>
      <c r="Q157" t="s">
        <v>1433</v>
      </c>
      <c r="R157" t="str">
        <v>Tepary bean</v>
      </c>
      <c r="V157" t="s">
        <v>1831</v>
      </c>
    </row>
    <row r="158" spans="16:22" x14ac:dyDescent="0.25">
      <c r="P158" t="s">
        <v>1434</v>
      </c>
      <c r="Q158" t="s">
        <v>1435</v>
      </c>
      <c r="R158" t="str">
        <v>Tobacco</v>
      </c>
      <c r="V158" t="s">
        <v>1832</v>
      </c>
    </row>
    <row r="159" spans="16:22" x14ac:dyDescent="0.25">
      <c r="P159" t="s">
        <v>1436</v>
      </c>
      <c r="Q159" t="s">
        <v>1437</v>
      </c>
      <c r="R159" t="str">
        <v>Tomato</v>
      </c>
      <c r="V159" t="s">
        <v>1833</v>
      </c>
    </row>
    <row r="160" spans="16:22" x14ac:dyDescent="0.25">
      <c r="P160" t="s">
        <v>1438</v>
      </c>
      <c r="Q160" t="s">
        <v>1439</v>
      </c>
      <c r="R160" t="str">
        <v>Triticale</v>
      </c>
      <c r="V160" t="s">
        <v>1834</v>
      </c>
    </row>
    <row r="161" spans="16:22" x14ac:dyDescent="0.25">
      <c r="P161" t="s">
        <v>1440</v>
      </c>
      <c r="Q161" t="s">
        <v>1441</v>
      </c>
      <c r="R161" t="str">
        <v>Turnip</v>
      </c>
      <c r="V161" t="s">
        <v>1835</v>
      </c>
    </row>
    <row r="162" spans="16:22" x14ac:dyDescent="0.25">
      <c r="P162" t="s">
        <v>1442</v>
      </c>
      <c r="Q162" t="s">
        <v>1443</v>
      </c>
      <c r="R162" t="str">
        <v>Velvet bean</v>
      </c>
      <c r="V162" t="s">
        <v>1836</v>
      </c>
    </row>
    <row r="163" spans="16:22" x14ac:dyDescent="0.25">
      <c r="P163" t="s">
        <v>1444</v>
      </c>
      <c r="Q163" t="s">
        <v>1445</v>
      </c>
      <c r="R163" t="str">
        <v>Walnut</v>
      </c>
      <c r="V163" t="s">
        <v>1837</v>
      </c>
    </row>
    <row r="164" spans="16:22" x14ac:dyDescent="0.25">
      <c r="P164" t="s">
        <v>1446</v>
      </c>
      <c r="Q164" t="s">
        <v>1447</v>
      </c>
      <c r="R164" t="str">
        <v>Watermelon</v>
      </c>
      <c r="V164" t="s">
        <v>1838</v>
      </c>
    </row>
    <row r="165" spans="16:22" x14ac:dyDescent="0.25">
      <c r="P165" t="s">
        <v>1448</v>
      </c>
      <c r="Q165" t="s">
        <v>1449</v>
      </c>
      <c r="R165" t="str">
        <v>Wheat</v>
      </c>
      <c r="V165" t="s">
        <v>1839</v>
      </c>
    </row>
    <row r="166" spans="16:22" x14ac:dyDescent="0.25">
      <c r="P166" t="s">
        <v>1450</v>
      </c>
      <c r="Q166" t="s">
        <v>1451</v>
      </c>
      <c r="R166" t="str">
        <v>Willow</v>
      </c>
      <c r="V166" t="s">
        <v>1840</v>
      </c>
    </row>
    <row r="167" spans="16:22" x14ac:dyDescent="0.25">
      <c r="P167" t="s">
        <v>1452</v>
      </c>
      <c r="Q167" t="s">
        <v>1453</v>
      </c>
      <c r="R167" t="str">
        <v>Wine grape</v>
      </c>
      <c r="V167" t="s">
        <v>1841</v>
      </c>
    </row>
    <row r="168" spans="16:22" x14ac:dyDescent="0.25">
      <c r="P168" t="s">
        <v>1454</v>
      </c>
      <c r="Q168" t="s">
        <v>1455</v>
      </c>
      <c r="R168" t="str">
        <v>Winter squash</v>
      </c>
      <c r="V168" t="s">
        <v>1842</v>
      </c>
    </row>
    <row r="169" spans="16:22" x14ac:dyDescent="0.25">
      <c r="P169" t="s">
        <v>1456</v>
      </c>
      <c r="Q169" t="s">
        <v>1457</v>
      </c>
      <c r="R169" t="str">
        <v>Yam</v>
      </c>
      <c r="V169" t="s">
        <v>1876</v>
      </c>
    </row>
    <row r="170" spans="16:22" x14ac:dyDescent="0.25">
      <c r="P170" t="s">
        <v>1458</v>
      </c>
      <c r="Q170" t="s">
        <v>1459</v>
      </c>
      <c r="V170" t="s">
        <v>1843</v>
      </c>
    </row>
    <row r="171" spans="16:22" x14ac:dyDescent="0.25">
      <c r="V171" t="s">
        <v>1844</v>
      </c>
    </row>
    <row r="172" spans="16:22" x14ac:dyDescent="0.25">
      <c r="V172" t="s">
        <v>1845</v>
      </c>
    </row>
    <row r="173" spans="16:22" x14ac:dyDescent="0.25">
      <c r="V173" t="s">
        <v>1846</v>
      </c>
    </row>
    <row r="174" spans="16:22" x14ac:dyDescent="0.25">
      <c r="V174" t="s">
        <v>1847</v>
      </c>
    </row>
    <row r="175" spans="16:22" x14ac:dyDescent="0.25">
      <c r="V175" t="s">
        <v>1848</v>
      </c>
    </row>
    <row r="176" spans="16:22" x14ac:dyDescent="0.25">
      <c r="V176" t="s">
        <v>1849</v>
      </c>
    </row>
    <row r="177" spans="22:22" x14ac:dyDescent="0.25">
      <c r="V177" t="s">
        <v>1850</v>
      </c>
    </row>
    <row r="178" spans="22:22" x14ac:dyDescent="0.25">
      <c r="V178" t="s">
        <v>1851</v>
      </c>
    </row>
    <row r="179" spans="22:22" x14ac:dyDescent="0.25">
      <c r="V179" t="s">
        <v>1852</v>
      </c>
    </row>
    <row r="180" spans="22:22" x14ac:dyDescent="0.25">
      <c r="V180" t="s">
        <v>1853</v>
      </c>
    </row>
    <row r="181" spans="22:22" x14ac:dyDescent="0.25">
      <c r="V181" t="s">
        <v>1854</v>
      </c>
    </row>
    <row r="182" spans="22:22" x14ac:dyDescent="0.25">
      <c r="V182" t="s">
        <v>1855</v>
      </c>
    </row>
    <row r="183" spans="22:22" x14ac:dyDescent="0.25">
      <c r="V183" t="s">
        <v>1856</v>
      </c>
    </row>
    <row r="184" spans="22:22" x14ac:dyDescent="0.25">
      <c r="V184" t="s">
        <v>1857</v>
      </c>
    </row>
    <row r="185" spans="22:22" x14ac:dyDescent="0.25">
      <c r="V185" t="s">
        <v>1858</v>
      </c>
    </row>
    <row r="186" spans="22:22" x14ac:dyDescent="0.25">
      <c r="V186" t="s">
        <v>1859</v>
      </c>
    </row>
    <row r="187" spans="22:22" x14ac:dyDescent="0.25">
      <c r="V187" t="s">
        <v>1860</v>
      </c>
    </row>
    <row r="188" spans="22:22" x14ac:dyDescent="0.25">
      <c r="V188" t="s">
        <v>1861</v>
      </c>
    </row>
    <row r="189" spans="22:22" x14ac:dyDescent="0.25">
      <c r="V189" t="s">
        <v>1862</v>
      </c>
    </row>
    <row r="190" spans="22:22" x14ac:dyDescent="0.25">
      <c r="V190" t="s">
        <v>1863</v>
      </c>
    </row>
    <row r="191" spans="22:22" x14ac:dyDescent="0.25">
      <c r="V191" t="s">
        <v>1864</v>
      </c>
    </row>
    <row r="192" spans="22:22" x14ac:dyDescent="0.25">
      <c r="V192" t="s">
        <v>1865</v>
      </c>
    </row>
    <row r="193" spans="22:22" x14ac:dyDescent="0.25">
      <c r="V193" t="s">
        <v>1866</v>
      </c>
    </row>
    <row r="194" spans="22:22" x14ac:dyDescent="0.25">
      <c r="V194" t="s">
        <v>1867</v>
      </c>
    </row>
    <row r="195" spans="22:22" x14ac:dyDescent="0.25">
      <c r="V195" t="s">
        <v>1868</v>
      </c>
    </row>
    <row r="196" spans="22:22" x14ac:dyDescent="0.25">
      <c r="V196" t="s">
        <v>1869</v>
      </c>
    </row>
    <row r="197" spans="22:22" x14ac:dyDescent="0.25">
      <c r="V197" t="s">
        <v>1870</v>
      </c>
    </row>
    <row r="198" spans="22:22" x14ac:dyDescent="0.25">
      <c r="V198" t="s">
        <v>1871</v>
      </c>
    </row>
  </sheetData>
  <conditionalFormatting sqref="P1:P1048576">
    <cfRule type="duplicateValues" dxfId="54"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OH13"/>
  <sheetViews>
    <sheetView topLeftCell="LG1" workbookViewId="0">
      <selection activeCell="A169" sqref="A169:XFD169"/>
    </sheetView>
  </sheetViews>
  <sheetFormatPr defaultRowHeight="15" x14ac:dyDescent="0.25"/>
  <cols>
    <col min="1" max="3" width="17.140625" customWidth="1"/>
    <col min="4" max="4" width="5.28515625" customWidth="1"/>
    <col min="5" max="24" width="3.28515625" customWidth="1"/>
    <col min="25" max="25" width="5.28515625" customWidth="1"/>
    <col min="26" max="45" width="3.28515625" customWidth="1"/>
    <col min="46" max="46" width="5.28515625" customWidth="1"/>
    <col min="47" max="87" width="3" customWidth="1"/>
    <col min="88" max="88" width="5.140625" customWidth="1"/>
    <col min="89" max="108" width="3.28515625" customWidth="1"/>
    <col min="109" max="109" width="5.42578125" customWidth="1"/>
    <col min="110" max="150" width="3" customWidth="1"/>
    <col min="151" max="151" width="5.140625" customWidth="1"/>
    <col min="152" max="191" width="3.28515625" customWidth="1"/>
    <col min="192" max="192" width="5.42578125" customWidth="1"/>
    <col min="193" max="232" width="3.28515625" customWidth="1"/>
    <col min="233" max="233" width="5.5703125" customWidth="1"/>
    <col min="234" max="273" width="3.28515625" customWidth="1"/>
    <col min="274" max="274" width="5.5703125" customWidth="1"/>
    <col min="275" max="314" width="3.28515625" customWidth="1"/>
    <col min="315" max="315" width="5.42578125" customWidth="1"/>
    <col min="316" max="355" width="3.28515625" customWidth="1"/>
    <col min="356" max="356" width="5.42578125" customWidth="1"/>
    <col min="357" max="377" width="3" customWidth="1"/>
    <col min="378" max="378" width="5.42578125" customWidth="1"/>
    <col min="379" max="398" width="3.28515625" customWidth="1"/>
  </cols>
  <sheetData>
    <row r="2" spans="1:398" x14ac:dyDescent="0.25">
      <c r="A2" s="17" t="s">
        <v>1873</v>
      </c>
      <c r="B2" s="17" t="s">
        <v>1874</v>
      </c>
      <c r="C2" s="17" t="s">
        <v>1875</v>
      </c>
      <c r="E2" s="17" t="s">
        <v>1666</v>
      </c>
      <c r="F2" s="18"/>
      <c r="G2" s="18"/>
      <c r="H2" s="18"/>
      <c r="I2" s="18"/>
      <c r="J2" s="18"/>
      <c r="K2" s="18"/>
      <c r="L2" s="18"/>
      <c r="M2" s="18"/>
      <c r="N2" s="18"/>
      <c r="O2" s="18"/>
      <c r="P2" s="18"/>
      <c r="Q2" s="18"/>
      <c r="R2" s="18"/>
      <c r="S2" s="18"/>
      <c r="T2" s="18"/>
      <c r="U2" s="18"/>
      <c r="V2" s="18"/>
      <c r="W2" s="18"/>
      <c r="X2" s="18"/>
      <c r="Z2" s="17" t="s">
        <v>1667</v>
      </c>
      <c r="AA2" s="18"/>
      <c r="AB2" s="18"/>
      <c r="AC2" s="18"/>
      <c r="AD2" s="18"/>
      <c r="AE2" s="18"/>
      <c r="AF2" s="18"/>
      <c r="AG2" s="18"/>
      <c r="AH2" s="18"/>
      <c r="AI2" s="18"/>
      <c r="AJ2" s="18"/>
      <c r="AK2" s="18"/>
      <c r="AL2" s="18"/>
      <c r="AM2" s="18"/>
      <c r="AN2" s="18"/>
      <c r="AO2" s="18"/>
      <c r="AP2" s="18"/>
      <c r="AQ2" s="18"/>
      <c r="AR2" s="18"/>
      <c r="AS2" s="18"/>
      <c r="AU2" s="17" t="s">
        <v>2049</v>
      </c>
      <c r="AV2" s="18"/>
      <c r="AW2" s="18"/>
      <c r="AX2" s="18"/>
      <c r="AY2" s="18"/>
      <c r="AZ2" s="18"/>
      <c r="BA2" s="18"/>
      <c r="BB2" s="18"/>
      <c r="BC2" s="18"/>
      <c r="BD2" s="18"/>
      <c r="BE2" s="18"/>
      <c r="BF2" s="18"/>
      <c r="BG2" s="18"/>
      <c r="BH2" s="18"/>
      <c r="BI2" s="18"/>
      <c r="BJ2" s="18"/>
      <c r="BK2" s="18"/>
      <c r="BL2" s="18"/>
      <c r="BM2" s="18"/>
      <c r="BN2" s="18"/>
      <c r="BO2" s="20" t="s">
        <v>2058</v>
      </c>
      <c r="BP2" s="19"/>
      <c r="BQ2" s="19"/>
      <c r="BR2" s="19"/>
      <c r="BS2" s="19"/>
      <c r="BT2" s="19"/>
      <c r="BU2" s="19"/>
      <c r="BV2" s="19"/>
      <c r="BW2" s="19"/>
      <c r="BX2" s="19"/>
      <c r="BY2" s="19"/>
      <c r="BZ2" s="19"/>
      <c r="CA2" s="19"/>
      <c r="CB2" s="19"/>
      <c r="CC2" s="19"/>
      <c r="CD2" s="19"/>
      <c r="CE2" s="19"/>
      <c r="CF2" s="19"/>
      <c r="CG2" s="19"/>
      <c r="CH2" s="19"/>
      <c r="CI2" s="19"/>
      <c r="CK2" s="17" t="s">
        <v>1671</v>
      </c>
      <c r="CL2" s="18"/>
      <c r="CM2" s="18"/>
      <c r="CN2" s="18"/>
      <c r="CO2" s="18"/>
      <c r="CP2" s="18"/>
      <c r="CQ2" s="18"/>
      <c r="CR2" s="18"/>
      <c r="CS2" s="18"/>
      <c r="CT2" s="18"/>
      <c r="CU2" s="18"/>
      <c r="CV2" s="18"/>
      <c r="CW2" s="18"/>
      <c r="CX2" s="18"/>
      <c r="CY2" s="18"/>
      <c r="CZ2" s="18"/>
      <c r="DA2" s="18"/>
      <c r="DB2" s="18"/>
      <c r="DC2" s="18"/>
      <c r="DD2" s="18"/>
      <c r="DF2" s="17" t="s">
        <v>1672</v>
      </c>
      <c r="DG2" s="18"/>
      <c r="DH2" s="18"/>
      <c r="DI2" s="18"/>
      <c r="DJ2" s="18"/>
      <c r="DK2" s="18"/>
      <c r="DL2" s="18"/>
      <c r="DM2" s="18"/>
      <c r="DN2" s="18"/>
      <c r="DO2" s="18"/>
      <c r="DP2" s="18"/>
      <c r="DQ2" s="18"/>
      <c r="DR2" s="18"/>
      <c r="DS2" s="18"/>
      <c r="DT2" s="18"/>
      <c r="DU2" s="18"/>
      <c r="DV2" s="18"/>
      <c r="DW2" s="18"/>
      <c r="DX2" s="18"/>
      <c r="DY2" s="18"/>
      <c r="DZ2" s="20" t="s">
        <v>1673</v>
      </c>
      <c r="EA2" s="19"/>
      <c r="EB2" s="19"/>
      <c r="EC2" s="19"/>
      <c r="ED2" s="19"/>
      <c r="EE2" s="19"/>
      <c r="EF2" s="19"/>
      <c r="EG2" s="19"/>
      <c r="EH2" s="19"/>
      <c r="EI2" s="19"/>
      <c r="EJ2" s="19"/>
      <c r="EK2" s="19"/>
      <c r="EL2" s="19"/>
      <c r="EM2" s="19"/>
      <c r="EN2" s="19"/>
      <c r="EO2" s="19"/>
      <c r="EP2" s="19"/>
      <c r="EQ2" s="19"/>
      <c r="ER2" s="19"/>
      <c r="ES2" s="19"/>
      <c r="ET2" s="19"/>
      <c r="EV2" s="17" t="s">
        <v>1668</v>
      </c>
      <c r="EW2" s="18"/>
      <c r="EX2" s="18"/>
      <c r="EY2" s="18"/>
      <c r="EZ2" s="18"/>
      <c r="FA2" s="18"/>
      <c r="FB2" s="18"/>
      <c r="FC2" s="18"/>
      <c r="FD2" s="18"/>
      <c r="FE2" s="18"/>
      <c r="FF2" s="18"/>
      <c r="FG2" s="18"/>
      <c r="FH2" s="18"/>
      <c r="FI2" s="18"/>
      <c r="FJ2" s="18"/>
      <c r="FK2" s="18"/>
      <c r="FL2" s="18"/>
      <c r="FM2" s="18"/>
      <c r="FN2" s="18"/>
      <c r="FO2" s="18"/>
      <c r="FP2" s="20" t="s">
        <v>1674</v>
      </c>
      <c r="FQ2" s="19"/>
      <c r="FR2" s="19"/>
      <c r="FS2" s="19"/>
      <c r="FT2" s="19"/>
      <c r="FU2" s="19"/>
      <c r="FV2" s="19"/>
      <c r="FW2" s="19"/>
      <c r="FX2" s="19"/>
      <c r="FY2" s="19"/>
      <c r="FZ2" s="19"/>
      <c r="GA2" s="19"/>
      <c r="GB2" s="19"/>
      <c r="GC2" s="19"/>
      <c r="GD2" s="19"/>
      <c r="GE2" s="19"/>
      <c r="GF2" s="19"/>
      <c r="GG2" s="19"/>
      <c r="GH2" s="19"/>
      <c r="GI2" s="19"/>
      <c r="GK2" s="17" t="s">
        <v>2051</v>
      </c>
      <c r="GL2" s="18"/>
      <c r="GM2" s="18"/>
      <c r="GN2" s="18"/>
      <c r="GO2" s="18"/>
      <c r="GP2" s="18"/>
      <c r="GQ2" s="18"/>
      <c r="GR2" s="18"/>
      <c r="GS2" s="18"/>
      <c r="GT2" s="18"/>
      <c r="GU2" s="18"/>
      <c r="GV2" s="18"/>
      <c r="GW2" s="18"/>
      <c r="GX2" s="18"/>
      <c r="GY2" s="18"/>
      <c r="GZ2" s="18"/>
      <c r="HA2" s="18"/>
      <c r="HB2" s="18"/>
      <c r="HC2" s="18"/>
      <c r="HD2" s="18"/>
      <c r="HE2" s="20" t="s">
        <v>2059</v>
      </c>
      <c r="HF2" s="19"/>
      <c r="HG2" s="19"/>
      <c r="HH2" s="19"/>
      <c r="HI2" s="19"/>
      <c r="HJ2" s="19"/>
      <c r="HK2" s="19"/>
      <c r="HL2" s="19"/>
      <c r="HM2" s="19"/>
      <c r="HN2" s="19"/>
      <c r="HO2" s="19"/>
      <c r="HP2" s="19"/>
      <c r="HQ2" s="19"/>
      <c r="HR2" s="19"/>
      <c r="HS2" s="19"/>
      <c r="HT2" s="19"/>
      <c r="HU2" s="19"/>
      <c r="HV2" s="19"/>
      <c r="HW2" s="19"/>
      <c r="HX2" s="19"/>
      <c r="HZ2" s="17" t="s">
        <v>1669</v>
      </c>
      <c r="IA2" s="18"/>
      <c r="IB2" s="18"/>
      <c r="IC2" s="18"/>
      <c r="ID2" s="18"/>
      <c r="IE2" s="18"/>
      <c r="IF2" s="18"/>
      <c r="IG2" s="18"/>
      <c r="IH2" s="18"/>
      <c r="II2" s="18"/>
      <c r="IJ2" s="18"/>
      <c r="IK2" s="18"/>
      <c r="IL2" s="18"/>
      <c r="IM2" s="18"/>
      <c r="IN2" s="18"/>
      <c r="IO2" s="18"/>
      <c r="IP2" s="18"/>
      <c r="IQ2" s="18"/>
      <c r="IR2" s="18"/>
      <c r="IS2" s="18"/>
      <c r="IT2" s="20" t="s">
        <v>1675</v>
      </c>
      <c r="IU2" s="19"/>
      <c r="IV2" s="19"/>
      <c r="IW2" s="19"/>
      <c r="IX2" s="19"/>
      <c r="IY2" s="19"/>
      <c r="IZ2" s="19"/>
      <c r="JA2" s="19"/>
      <c r="JB2" s="19"/>
      <c r="JC2" s="19"/>
      <c r="JD2" s="19"/>
      <c r="JE2" s="19"/>
      <c r="JF2" s="19"/>
      <c r="JG2" s="19"/>
      <c r="JH2" s="19"/>
      <c r="JI2" s="19"/>
      <c r="JJ2" s="19"/>
      <c r="JK2" s="19"/>
      <c r="JL2" s="19"/>
      <c r="JM2" s="19"/>
      <c r="JO2" s="17" t="s">
        <v>2050</v>
      </c>
      <c r="JP2" s="18"/>
      <c r="JQ2" s="18"/>
      <c r="JR2" s="18"/>
      <c r="JS2" s="18"/>
      <c r="JT2" s="18"/>
      <c r="JU2" s="18"/>
      <c r="JV2" s="18"/>
      <c r="JW2" s="18"/>
      <c r="JX2" s="18"/>
      <c r="JY2" s="18"/>
      <c r="JZ2" s="18"/>
      <c r="KA2" s="18"/>
      <c r="KB2" s="18"/>
      <c r="KC2" s="18"/>
      <c r="KD2" s="18"/>
      <c r="KE2" s="18"/>
      <c r="KF2" s="18"/>
      <c r="KG2" s="18"/>
      <c r="KH2" s="18"/>
      <c r="KI2" s="20" t="s">
        <v>2060</v>
      </c>
      <c r="KJ2" s="19"/>
      <c r="KK2" s="19"/>
      <c r="KL2" s="19"/>
      <c r="KM2" s="19"/>
      <c r="KN2" s="19"/>
      <c r="KO2" s="19"/>
      <c r="KP2" s="19"/>
      <c r="KQ2" s="19"/>
      <c r="KR2" s="19"/>
      <c r="KS2" s="19"/>
      <c r="KT2" s="19"/>
      <c r="KU2" s="19"/>
      <c r="KV2" s="19"/>
      <c r="KW2" s="19"/>
      <c r="KX2" s="19"/>
      <c r="KY2" s="19"/>
      <c r="KZ2" s="19"/>
      <c r="LA2" s="19"/>
      <c r="LB2" s="19"/>
      <c r="LD2" s="17" t="s">
        <v>1670</v>
      </c>
      <c r="LE2" s="18"/>
      <c r="LF2" s="18"/>
      <c r="LG2" s="18"/>
      <c r="LH2" s="18"/>
      <c r="LI2" s="18"/>
      <c r="LJ2" s="18"/>
      <c r="LK2" s="18"/>
      <c r="LL2" s="18"/>
      <c r="LM2" s="18"/>
      <c r="LN2" s="18"/>
      <c r="LO2" s="18"/>
      <c r="LP2" s="18"/>
      <c r="LQ2" s="18"/>
      <c r="LR2" s="18"/>
      <c r="LS2" s="18"/>
      <c r="LT2" s="18"/>
      <c r="LU2" s="18"/>
      <c r="LV2" s="18"/>
      <c r="LW2" s="18"/>
      <c r="LX2" s="20" t="s">
        <v>1676</v>
      </c>
      <c r="LY2" s="19"/>
      <c r="LZ2" s="19"/>
      <c r="MA2" s="19"/>
      <c r="MB2" s="19"/>
      <c r="MC2" s="19"/>
      <c r="MD2" s="19"/>
      <c r="ME2" s="19"/>
      <c r="MF2" s="19"/>
      <c r="MG2" s="19"/>
      <c r="MH2" s="19"/>
      <c r="MI2" s="19"/>
      <c r="MJ2" s="19"/>
      <c r="MK2" s="19"/>
      <c r="ML2" s="19"/>
      <c r="MM2" s="19"/>
      <c r="MN2" s="19"/>
      <c r="MO2" s="19"/>
      <c r="MP2" s="19"/>
      <c r="MQ2" s="19"/>
      <c r="MS2" s="20" t="s">
        <v>6748</v>
      </c>
      <c r="MT2" s="19"/>
      <c r="MU2" s="19"/>
      <c r="MV2" s="19"/>
      <c r="MW2" s="19"/>
      <c r="MX2" s="19"/>
      <c r="MY2" s="19"/>
      <c r="MZ2" s="19"/>
      <c r="NA2" s="19"/>
      <c r="NB2" s="19"/>
      <c r="NC2" s="19"/>
      <c r="ND2" s="19"/>
      <c r="NE2" s="19"/>
      <c r="NF2" s="19"/>
      <c r="NG2" s="19"/>
      <c r="NH2" s="19"/>
      <c r="NI2" s="19"/>
      <c r="NJ2" s="19"/>
      <c r="NK2" s="19"/>
      <c r="NL2" s="19"/>
      <c r="NM2" s="19"/>
      <c r="NO2" s="17" t="s">
        <v>6749</v>
      </c>
      <c r="NP2" s="18"/>
      <c r="NQ2" s="18"/>
      <c r="NR2" s="18"/>
      <c r="NS2" s="18"/>
      <c r="NT2" s="18"/>
      <c r="NU2" s="18"/>
      <c r="NV2" s="18"/>
      <c r="NW2" s="18"/>
      <c r="NX2" s="18"/>
      <c r="NY2" s="18"/>
      <c r="NZ2" s="18"/>
      <c r="OA2" s="18"/>
      <c r="OB2" s="18"/>
      <c r="OC2" s="18"/>
      <c r="OD2" s="18"/>
      <c r="OE2" s="18"/>
      <c r="OF2" s="18"/>
      <c r="OG2" s="18"/>
      <c r="OH2" s="18"/>
    </row>
    <row r="3" spans="1:398" x14ac:dyDescent="0.25">
      <c r="A3" t="str" cm="1">
        <f t="array" ref="A3:A4">_xlfn._xlws.SORT(_xlfn.UNIQUE(_xlfn._xlws.FILTER(expMetadata[experiment_ID], expMetadata[experiment_ID] &lt;&gt; "")))</f>
        <v>HWTD2401</v>
      </c>
      <c r="B3" t="e" cm="1" vm="1">
        <f t="array" ref="B3">_xlfn._xlws.SORT(_xlfn.UNIQUE(_xlfn._xlws.FILTER(soilMetadata[soil_profile_ID], soilMetadata[soil_profile_ID] &lt;&gt; "")))</f>
        <v>#VALUE!</v>
      </c>
      <c r="C3" t="e" cm="1" vm="1">
        <f t="array" ref="C3">_xlfn._xlws.SORT(_xlfn.UNIQUE(_xlfn._xlws.FILTER(weatherMetadata[weather_station_id], weatherMetadata[weather_station_id] &lt;&gt; "")))</f>
        <v>#VALUE!</v>
      </c>
      <c r="E3" t="str" cm="1">
        <f t="array" ref="E3:F3">TRANSPOSE(_xlfn._xlws.SORT(_xlfn.UNIQUE(_xlfn._xlws.FILTER(genotypes[experiment_ID],genotypes[experiment_ID] &lt;&gt; ""))))</f>
        <v>HWTD2401</v>
      </c>
      <c r="F3" t="str">
        <v>WULL7701</v>
      </c>
      <c r="Z3" t="str" cm="1">
        <f t="array" ref="Z3:AA3">TRANSPOSE(_xlfn._xlws.SORT(_xlfn.UNIQUE(_xlfn._xlws.FILTER(fields[experiment_ID], fields[experiment_ID] &lt;&gt; ""))))</f>
        <v>HWTD2401</v>
      </c>
      <c r="AA3" t="str">
        <v>WULL7701</v>
      </c>
      <c r="AU3" t="str" cm="1">
        <f t="array" ref="AU3">TRANSPOSE(_xlfn._xlws.SORT(_xlfn.UNIQUE(_xlfn._xlws.FILTER(tillage[experiment_ID], tillage[experiment_ID] &lt;&gt; ""))))</f>
        <v>HWTD2401</v>
      </c>
      <c r="BO3" t="str" cm="1">
        <f t="array" ref="BO3">TRANSPOSE(_xlfn._xlws.SORT(_xlfn.UNIQUE(_xlfn._xlws.FILTER(tillage[experiment_ID], tillage[experiment_ID] &lt;&gt; ""))))</f>
        <v>HWTD2401</v>
      </c>
      <c r="CK3" t="str" cm="1">
        <f t="array" ref="CK3:CL3">TRANSPOSE(_xlfn._xlws.SORT(_xlfn.UNIQUE(_xlfn._xlws.FILTER(plantings[experiment_ID], plantings[experiment_ID] &lt;&gt; ""))))</f>
        <v>HWTD2401</v>
      </c>
      <c r="CL3" t="str">
        <v>WULL7701</v>
      </c>
      <c r="DF3" t="str" cm="1">
        <f t="array" ref="DF3">TRANSPOSE(_xlfn._xlws.SORT(_xlfn.UNIQUE(_xlfn._xlws.FILTER(initialConditions[experiment_ID], initialConditions[experiment_ID] &lt;&gt; ""))))</f>
        <v>HWTD2401</v>
      </c>
      <c r="DZ3" t="str" cm="1">
        <f t="array" ref="DZ3">TRANSPOSE(_xlfn._xlws.SORT(_xlfn.UNIQUE(_xlfn._xlws.FILTER(initialConditions[experiment_ID], initialConditions[experiment_ID] &lt;&gt; ""))))</f>
        <v>HWTD2401</v>
      </c>
      <c r="EV3" t="str" cm="1">
        <f t="array" ref="EV3:EW3">TRANSPOSE(_xlfn._xlws.SORT(_xlfn.UNIQUE(_xlfn._xlws.FILTER(irrigation[experiment_ID], irrigation[experiment_ID] &lt;&gt; ""))))</f>
        <v>HWTD2401</v>
      </c>
      <c r="EW3" t="str">
        <v>WULL7701</v>
      </c>
      <c r="FP3" t="str" cm="1">
        <f t="array" ref="FP3:FQ3">TRANSPOSE(_xlfn._xlws.SORT(_xlfn.UNIQUE(_xlfn._xlws.FILTER(irrigation[experiment_ID], irrigation[experiment_ID] &lt;&gt; ""))))</f>
        <v>HWTD2401</v>
      </c>
      <c r="FQ3" t="str">
        <v>WULL7701</v>
      </c>
      <c r="GK3" t="e" cm="1" vm="1">
        <f t="array" ref="GK3">TRANSPOSE(_xlfn._xlws.SORT(_xlfn.UNIQUE(_xlfn._xlws.FILTER(organicMaterials[experiment_ID], organicMaterials[experiment_ID] &lt;&gt; ""))))</f>
        <v>#VALUE!</v>
      </c>
      <c r="HE3" t="e" cm="1" vm="1">
        <f t="array" ref="HE3">TRANSPOSE(_xlfn._xlws.SORT(_xlfn.UNIQUE(_xlfn._xlws.FILTER(organicMaterials[experiment_ID], organicMaterials[experiment_ID] &lt;&gt; ""))))</f>
        <v>#VALUE!</v>
      </c>
      <c r="HZ3" t="str" cm="1">
        <f t="array" ref="HZ3:IA3">TRANSPOSE(_xlfn._xlws.SORT(_xlfn.UNIQUE(_xlfn._xlws.FILTER(fertilizers[experiment_ID], fertilizers[experiment_ID] &lt;&gt; ""))))</f>
        <v>HWTD2401</v>
      </c>
      <c r="IA3" t="str">
        <v>WULL7701</v>
      </c>
      <c r="IT3" t="str" cm="1">
        <f t="array" ref="IT3:IU3">TRANSPOSE(_xlfn._xlws.SORT(_xlfn.UNIQUE(_xlfn._xlws.FILTER(fertilizers[experiment_ID], fertilizers[experiment_ID] &lt;&gt; ""))))</f>
        <v>HWTD2401</v>
      </c>
      <c r="IU3" t="str">
        <v>WULL7701</v>
      </c>
      <c r="JO3" t="str" cm="1">
        <f t="array" ref="JO3:JP3">TRANSPOSE(_xlfn._xlws.SORT(_xlfn.UNIQUE(_xlfn._xlws.FILTER(chemicals[experiment_ID], chemicals[experiment_ID] &lt;&gt; ""))))</f>
        <v>HWTD2401</v>
      </c>
      <c r="JP3" t="str">
        <v>WULL7701</v>
      </c>
      <c r="KI3" t="str" cm="1">
        <f t="array" ref="KI3:KJ3">TRANSPOSE(_xlfn._xlws.SORT(_xlfn.UNIQUE(_xlfn._xlws.FILTER(chemicals[experiment_ID], chemicals[experiment_ID] &lt;&gt; ""))))</f>
        <v>HWTD2401</v>
      </c>
      <c r="KJ3" t="str">
        <v>WULL7701</v>
      </c>
      <c r="LD3" t="str" cm="1">
        <f t="array" ref="LD3:LE3">TRANSPOSE(_xlfn._xlws.SORT(_xlfn.UNIQUE(_xlfn._xlws.FILTER(harvest[experiment_ID], harvest[experiment_ID] &lt;&gt; ""))))</f>
        <v>HWTD2401</v>
      </c>
      <c r="LE3" t="str">
        <v>WULL7701</v>
      </c>
      <c r="LX3" t="str" cm="1">
        <f t="array" ref="LX3:LY3">TRANSPOSE(_xlfn._xlws.SORT(_xlfn.UNIQUE(_xlfn._xlws.FILTER(harvest[experiment_ID], harvest[experiment_ID] &lt;&gt; ""))))</f>
        <v>HWTD2401</v>
      </c>
      <c r="LY3" t="str">
        <v>WULL7701</v>
      </c>
      <c r="MS3" t="str" cm="1">
        <f t="array" ref="MS3:MT3">TRANSPOSE(_xlfn._xlws.SORT(_xlfn.UNIQUE(_xlfn._xlws.FILTER(plotDetails[experiment_ID], plotDetails[experiment_ID] &lt;&gt; ""))))</f>
        <v>HWTD2401</v>
      </c>
      <c r="MT3" t="str">
        <v>WULL7701</v>
      </c>
      <c r="NO3" t="str" cm="1">
        <f t="array" ref="NO3:NP3">TRANSPOSE(_xlfn._xlws.SORT(_xlfn.UNIQUE(_xlfn._xlws.FILTER(treatments[experiment_ID], treatments[experiment_ID] &lt;&gt; ""))))</f>
        <v>HWTD2401</v>
      </c>
      <c r="NP3" t="str">
        <v>WULL7701</v>
      </c>
    </row>
    <row r="4" spans="1:398" x14ac:dyDescent="0.25">
      <c r="A4" t="str">
        <v>WULL7701</v>
      </c>
      <c r="E4" t="str" cm="1">
        <f t="array" ref="E4:E5">_xlfn._xlws.SORT(_xlfn._xlws.FILTER(genotypes[cultivar_level]&amp;" | "&amp;genotypes[cultivar_name],genotypes[experiment_ID]=E3))</f>
        <v>1 | Campesino</v>
      </c>
      <c r="F4" t="str" cm="1">
        <f t="array" ref="F4">_xlfn._xlws.SORT(_xlfn._xlws.FILTER(genotypes[cultivar_level]&amp;" | "&amp;genotypes[cultivar_name],genotypes[experiment_ID]=F3))</f>
        <v>1 | Lely</v>
      </c>
      <c r="G4" t="str" cm="1">
        <f t="array" ref="G4">_xlfn._xlws.SORT(_xlfn._xlws.FILTER(genotypes[cultivar_level]&amp;" | "&amp;genotypes[cultivar_name],genotypes[experiment_ID]=G3))</f>
        <v xml:space="preserve"> | </v>
      </c>
      <c r="H4" t="str" cm="1">
        <f t="array" ref="H4">_xlfn._xlws.SORT(_xlfn._xlws.FILTER(genotypes[cultivar_level]&amp;" | "&amp;genotypes[cultivar_name],genotypes[experiment_ID]=H3))</f>
        <v xml:space="preserve"> | </v>
      </c>
      <c r="I4" t="str" cm="1">
        <f t="array" ref="I4">_xlfn._xlws.SORT(_xlfn._xlws.FILTER(genotypes[cultivar_level]&amp;" | "&amp;genotypes[cultivar_name],genotypes[experiment_ID]=I3))</f>
        <v xml:space="preserve"> | </v>
      </c>
      <c r="J4" t="str" cm="1">
        <f t="array" ref="J4">_xlfn._xlws.SORT(_xlfn._xlws.FILTER(genotypes[cultivar_level]&amp;" | "&amp;genotypes[cultivar_name],genotypes[experiment_ID]=J3))</f>
        <v xml:space="preserve"> | </v>
      </c>
      <c r="K4" t="str" cm="1">
        <f t="array" ref="K4">_xlfn._xlws.SORT(_xlfn._xlws.FILTER(genotypes[cultivar_level]&amp;" | "&amp;genotypes[cultivar_name],genotypes[experiment_ID]=K3))</f>
        <v xml:space="preserve"> | </v>
      </c>
      <c r="L4" t="str" cm="1">
        <f t="array" ref="L4">_xlfn._xlws.SORT(_xlfn._xlws.FILTER(genotypes[cultivar_level]&amp;" | "&amp;genotypes[cultivar_name],genotypes[experiment_ID]=L3))</f>
        <v xml:space="preserve"> | </v>
      </c>
      <c r="M4" t="str" cm="1">
        <f t="array" ref="M4">_xlfn._xlws.SORT(_xlfn._xlws.FILTER(genotypes[cultivar_level]&amp;" | "&amp;genotypes[cultivar_name],genotypes[experiment_ID]=M3))</f>
        <v xml:space="preserve"> | </v>
      </c>
      <c r="N4" t="str" cm="1">
        <f t="array" ref="N4">_xlfn._xlws.SORT(_xlfn._xlws.FILTER(genotypes[cultivar_level]&amp;" | "&amp;genotypes[cultivar_name],genotypes[experiment_ID]=N3))</f>
        <v xml:space="preserve"> | </v>
      </c>
      <c r="O4" t="str" cm="1">
        <f t="array" ref="O4">_xlfn._xlws.SORT(_xlfn._xlws.FILTER(genotypes[cultivar_level]&amp;" | "&amp;genotypes[cultivar_name],genotypes[experiment_ID]=O3))</f>
        <v xml:space="preserve"> | </v>
      </c>
      <c r="P4" t="str" cm="1">
        <f t="array" ref="P4">_xlfn._xlws.SORT(_xlfn._xlws.FILTER(genotypes[cultivar_level]&amp;" | "&amp;genotypes[cultivar_name],genotypes[experiment_ID]=P3))</f>
        <v xml:space="preserve"> | </v>
      </c>
      <c r="Q4" t="str" cm="1">
        <f t="array" ref="Q4">_xlfn._xlws.SORT(_xlfn._xlws.FILTER(genotypes[cultivar_level]&amp;" | "&amp;genotypes[cultivar_name],genotypes[experiment_ID]=Q3))</f>
        <v xml:space="preserve"> | </v>
      </c>
      <c r="R4" t="str" cm="1">
        <f t="array" ref="R4">_xlfn._xlws.SORT(_xlfn._xlws.FILTER(genotypes[cultivar_level]&amp;" | "&amp;genotypes[cultivar_name],genotypes[experiment_ID]=R3))</f>
        <v xml:space="preserve"> | </v>
      </c>
      <c r="S4" t="str" cm="1">
        <f t="array" ref="S4">_xlfn._xlws.SORT(_xlfn._xlws.FILTER(genotypes[cultivar_level]&amp;" | "&amp;genotypes[cultivar_name],genotypes[experiment_ID]=S3))</f>
        <v xml:space="preserve"> | </v>
      </c>
      <c r="T4" t="str" cm="1">
        <f t="array" ref="T4">_xlfn._xlws.SORT(_xlfn._xlws.FILTER(genotypes[cultivar_level]&amp;" | "&amp;genotypes[cultivar_name],genotypes[experiment_ID]=T3))</f>
        <v xml:space="preserve"> | </v>
      </c>
      <c r="U4" t="str" cm="1">
        <f t="array" ref="U4">_xlfn._xlws.SORT(_xlfn._xlws.FILTER(genotypes[cultivar_level]&amp;" | "&amp;genotypes[cultivar_name],genotypes[experiment_ID]=U3))</f>
        <v xml:space="preserve"> | </v>
      </c>
      <c r="V4" t="str" cm="1">
        <f t="array" ref="V4">_xlfn._xlws.SORT(_xlfn._xlws.FILTER(genotypes[cultivar_level]&amp;" | "&amp;genotypes[cultivar_name],genotypes[experiment_ID]=V3))</f>
        <v xml:space="preserve"> | </v>
      </c>
      <c r="W4" t="str" cm="1">
        <f t="array" ref="W4">_xlfn._xlws.SORT(_xlfn._xlws.FILTER(genotypes[cultivar_level]&amp;" | "&amp;genotypes[cultivar_name],genotypes[experiment_ID]=W3))</f>
        <v xml:space="preserve"> | </v>
      </c>
      <c r="X4" t="str" cm="1">
        <f t="array" ref="X4">_xlfn._xlws.SORT(_xlfn._xlws.FILTER(genotypes[cultivar_level]&amp;" | "&amp;genotypes[cultivar_name],genotypes[experiment_ID]=X3))</f>
        <v xml:space="preserve"> | </v>
      </c>
      <c r="Z4" t="str" cm="1">
        <f t="array" ref="Z4">_xlfn._xlws.SORT(_xlfn._xlws.FILTER(fields[field_level]&amp;" | "&amp;fields[weather_sta_identifier],fields[experiment_ID]=Z3))</f>
        <v xml:space="preserve">1 | </v>
      </c>
      <c r="AA4" t="str" cm="1">
        <f t="array" ref="AA4">_xlfn._xlws.SORT(_xlfn._xlws.FILTER(fields[field_level]&amp;" | "&amp;fields[weather_sta_identifier],fields[experiment_ID]=AA3))</f>
        <v xml:space="preserve">1 | </v>
      </c>
      <c r="AB4" t="str" cm="1">
        <f t="array" ref="AB4">_xlfn._xlws.SORT(_xlfn._xlws.FILTER(fields[field_level]&amp;" | "&amp;fields[weather_sta_identifier],fields[experiment_ID]=AB3))</f>
        <v xml:space="preserve"> | </v>
      </c>
      <c r="AC4" t="str" cm="1">
        <f t="array" ref="AC4">_xlfn._xlws.SORT(_xlfn._xlws.FILTER(fields[field_level]&amp;" | "&amp;fields[weather_sta_identifier],fields[experiment_ID]=AC3))</f>
        <v xml:space="preserve"> | </v>
      </c>
      <c r="AD4" t="str" cm="1">
        <f t="array" ref="AD4">_xlfn._xlws.SORT(_xlfn._xlws.FILTER(fields[field_level]&amp;" | "&amp;fields[weather_sta_identifier],fields[experiment_ID]=AD3))</f>
        <v xml:space="preserve"> | </v>
      </c>
      <c r="AE4" t="str" cm="1">
        <f t="array" ref="AE4">_xlfn._xlws.SORT(_xlfn._xlws.FILTER(fields[field_level]&amp;" | "&amp;fields[weather_sta_identifier],fields[experiment_ID]=AE3))</f>
        <v xml:space="preserve"> | </v>
      </c>
      <c r="AF4" t="str" cm="1">
        <f t="array" ref="AF4">_xlfn._xlws.SORT(_xlfn._xlws.FILTER(fields[field_level]&amp;" | "&amp;fields[weather_sta_identifier],fields[experiment_ID]=AF3))</f>
        <v xml:space="preserve"> | </v>
      </c>
      <c r="AG4" t="str" cm="1">
        <f t="array" ref="AG4">_xlfn._xlws.SORT(_xlfn._xlws.FILTER(fields[field_level]&amp;" | "&amp;fields[weather_sta_identifier],fields[experiment_ID]=AG3))</f>
        <v xml:space="preserve"> | </v>
      </c>
      <c r="AH4" t="str" cm="1">
        <f t="array" ref="AH4">_xlfn._xlws.SORT(_xlfn._xlws.FILTER(fields[field_level]&amp;" | "&amp;fields[weather_sta_identifier],fields[experiment_ID]=AH3))</f>
        <v xml:space="preserve"> | </v>
      </c>
      <c r="AI4" t="str" cm="1">
        <f t="array" ref="AI4">_xlfn._xlws.SORT(_xlfn._xlws.FILTER(fields[field_level]&amp;" | "&amp;fields[weather_sta_identifier],fields[experiment_ID]=AI3))</f>
        <v xml:space="preserve"> | </v>
      </c>
      <c r="AJ4" t="str" cm="1">
        <f t="array" ref="AJ4">_xlfn._xlws.SORT(_xlfn._xlws.FILTER(fields[field_level]&amp;" | "&amp;fields[weather_sta_identifier],fields[experiment_ID]=AJ3))</f>
        <v xml:space="preserve"> | </v>
      </c>
      <c r="AK4" t="str" cm="1">
        <f t="array" ref="AK4">_xlfn._xlws.SORT(_xlfn._xlws.FILTER(fields[field_level]&amp;" | "&amp;fields[weather_sta_identifier],fields[experiment_ID]=AK3))</f>
        <v xml:space="preserve"> | </v>
      </c>
      <c r="AL4" t="str" cm="1">
        <f t="array" ref="AL4">_xlfn._xlws.SORT(_xlfn._xlws.FILTER(fields[field_level]&amp;" | "&amp;fields[weather_sta_identifier],fields[experiment_ID]=AL3))</f>
        <v xml:space="preserve"> | </v>
      </c>
      <c r="AM4" t="str" cm="1">
        <f t="array" ref="AM4">_xlfn._xlws.SORT(_xlfn._xlws.FILTER(fields[field_level]&amp;" | "&amp;fields[weather_sta_identifier],fields[experiment_ID]=AM3))</f>
        <v xml:space="preserve"> | </v>
      </c>
      <c r="AN4" t="str" cm="1">
        <f t="array" ref="AN4">_xlfn._xlws.SORT(_xlfn._xlws.FILTER(fields[field_level]&amp;" | "&amp;fields[weather_sta_identifier],fields[experiment_ID]=AN3))</f>
        <v xml:space="preserve"> | </v>
      </c>
      <c r="AO4" t="str" cm="1">
        <f t="array" ref="AO4">_xlfn._xlws.SORT(_xlfn._xlws.FILTER(fields[field_level]&amp;" | "&amp;fields[weather_sta_identifier],fields[experiment_ID]=AO3))</f>
        <v xml:space="preserve"> | </v>
      </c>
      <c r="AP4" t="str" cm="1">
        <f t="array" ref="AP4">_xlfn._xlws.SORT(_xlfn._xlws.FILTER(fields[field_level]&amp;" | "&amp;fields[weather_sta_identifier],fields[experiment_ID]=AP3))</f>
        <v xml:space="preserve"> | </v>
      </c>
      <c r="AQ4" t="str" cm="1">
        <f t="array" ref="AQ4">_xlfn._xlws.SORT(_xlfn._xlws.FILTER(fields[field_level]&amp;" | "&amp;fields[weather_sta_identifier],fields[experiment_ID]=AQ3))</f>
        <v xml:space="preserve"> | </v>
      </c>
      <c r="AR4" t="str" cm="1">
        <f t="array" ref="AR4">_xlfn._xlws.SORT(_xlfn._xlws.FILTER(fields[field_level]&amp;" | "&amp;fields[weather_sta_identifier],fields[experiment_ID]=AR3))</f>
        <v xml:space="preserve"> | </v>
      </c>
      <c r="AS4" t="str" cm="1">
        <f t="array" ref="AS4">_xlfn._xlws.SORT(_xlfn._xlws.FILTER(fields[field_level]&amp;" | "&amp;fields[weather_sta_identifier],fields[experiment_ID]=AS3))</f>
        <v xml:space="preserve"> | </v>
      </c>
      <c r="AU4" t="str" cm="1">
        <f t="array" ref="AU4:AU5">_xlfn._xlws.SORT(_xlfn._xlws.FILTER(tillage[tillage_level]&amp;" | "&amp;tillage[tillage_treatment_name],tillage[experiment_ID]=AU3))</f>
        <v>1 | Winter wheat tillage</v>
      </c>
      <c r="AV4" t="str" cm="1">
        <f t="array" ref="AV4">_xlfn._xlws.SORT(_xlfn._xlws.FILTER(tillage[tillage_level]&amp;" | "&amp;tillage[tillage_treatment_name],tillage[experiment_ID]=AV3))</f>
        <v xml:space="preserve"> | </v>
      </c>
      <c r="AW4" t="str" cm="1">
        <f t="array" ref="AW4">_xlfn._xlws.SORT(_xlfn._xlws.FILTER(tillage[tillage_level]&amp;" | "&amp;tillage[tillage_treatment_name],tillage[experiment_ID]=AW3))</f>
        <v xml:space="preserve"> | </v>
      </c>
      <c r="AX4" t="str" cm="1">
        <f t="array" ref="AX4">_xlfn._xlws.SORT(_xlfn._xlws.FILTER(tillage[tillage_level]&amp;" | "&amp;tillage[tillage_treatment_name],tillage[experiment_ID]=AX3))</f>
        <v xml:space="preserve"> | </v>
      </c>
      <c r="AY4" t="str" cm="1">
        <f t="array" ref="AY4">_xlfn._xlws.SORT(_xlfn._xlws.FILTER(tillage[tillage_level]&amp;" | "&amp;tillage[tillage_treatment_name],tillage[experiment_ID]=AY3))</f>
        <v xml:space="preserve"> | </v>
      </c>
      <c r="AZ4" t="str" cm="1">
        <f t="array" ref="AZ4">_xlfn._xlws.SORT(_xlfn._xlws.FILTER(tillage[tillage_level]&amp;" | "&amp;tillage[tillage_treatment_name],tillage[experiment_ID]=AZ3))</f>
        <v xml:space="preserve"> | </v>
      </c>
      <c r="BA4" t="str" cm="1">
        <f t="array" ref="BA4">_xlfn._xlws.SORT(_xlfn._xlws.FILTER(tillage[tillage_level]&amp;" | "&amp;tillage[tillage_treatment_name],tillage[experiment_ID]=BA3))</f>
        <v xml:space="preserve"> | </v>
      </c>
      <c r="BB4" t="str" cm="1">
        <f t="array" ref="BB4">_xlfn._xlws.SORT(_xlfn._xlws.FILTER(tillage[tillage_level]&amp;" | "&amp;tillage[tillage_treatment_name],tillage[experiment_ID]=BB3))</f>
        <v xml:space="preserve"> | </v>
      </c>
      <c r="BC4" t="str" cm="1">
        <f t="array" ref="BC4">_xlfn._xlws.SORT(_xlfn._xlws.FILTER(tillage[tillage_level]&amp;" | "&amp;tillage[tillage_treatment_name],tillage[experiment_ID]=BC3))</f>
        <v xml:space="preserve"> | </v>
      </c>
      <c r="BD4" t="str" cm="1">
        <f t="array" ref="BD4">_xlfn._xlws.SORT(_xlfn._xlws.FILTER(tillage[tillage_level]&amp;" | "&amp;tillage[tillage_treatment_name],tillage[experiment_ID]=BD3))</f>
        <v xml:space="preserve"> | </v>
      </c>
      <c r="BE4" t="str" cm="1">
        <f t="array" ref="BE4">_xlfn._xlws.SORT(_xlfn._xlws.FILTER(tillage[tillage_level]&amp;" | "&amp;tillage[tillage_treatment_name],tillage[experiment_ID]=BE3))</f>
        <v xml:space="preserve"> | </v>
      </c>
      <c r="BF4" t="str" cm="1">
        <f t="array" ref="BF4">_xlfn._xlws.SORT(_xlfn._xlws.FILTER(tillage[tillage_level]&amp;" | "&amp;tillage[tillage_treatment_name],tillage[experiment_ID]=BF3))</f>
        <v xml:space="preserve"> | </v>
      </c>
      <c r="BG4" t="str" cm="1">
        <f t="array" ref="BG4">_xlfn._xlws.SORT(_xlfn._xlws.FILTER(tillage[tillage_level]&amp;" | "&amp;tillage[tillage_treatment_name],tillage[experiment_ID]=BG3))</f>
        <v xml:space="preserve"> | </v>
      </c>
      <c r="BH4" t="str" cm="1">
        <f t="array" ref="BH4">_xlfn._xlws.SORT(_xlfn._xlws.FILTER(tillage[tillage_level]&amp;" | "&amp;tillage[tillage_treatment_name],tillage[experiment_ID]=BH3))</f>
        <v xml:space="preserve"> | </v>
      </c>
      <c r="BI4" t="str" cm="1">
        <f t="array" ref="BI4">_xlfn._xlws.SORT(_xlfn._xlws.FILTER(tillage[tillage_level]&amp;" | "&amp;tillage[tillage_treatment_name],tillage[experiment_ID]=BI3))</f>
        <v xml:space="preserve"> | </v>
      </c>
      <c r="BJ4" t="str" cm="1">
        <f t="array" ref="BJ4">_xlfn._xlws.SORT(_xlfn._xlws.FILTER(tillage[tillage_level]&amp;" | "&amp;tillage[tillage_treatment_name],tillage[experiment_ID]=BJ3))</f>
        <v xml:space="preserve"> | </v>
      </c>
      <c r="BK4" t="str" cm="1">
        <f t="array" ref="BK4">_xlfn._xlws.SORT(_xlfn._xlws.FILTER(tillage[tillage_level]&amp;" | "&amp;tillage[tillage_treatment_name],tillage[experiment_ID]=BK3))</f>
        <v xml:space="preserve"> | </v>
      </c>
      <c r="BL4" t="str" cm="1">
        <f t="array" ref="BL4">_xlfn._xlws.SORT(_xlfn._xlws.FILTER(tillage[tillage_level]&amp;" | "&amp;tillage[tillage_treatment_name],tillage[experiment_ID]=BL3))</f>
        <v xml:space="preserve"> | </v>
      </c>
      <c r="BM4" t="str" cm="1">
        <f t="array" ref="BM4">_xlfn._xlws.SORT(_xlfn._xlws.FILTER(tillage[tillage_level]&amp;" | "&amp;tillage[tillage_treatment_name],tillage[experiment_ID]=BM3))</f>
        <v xml:space="preserve"> | </v>
      </c>
      <c r="BN4" t="str" cm="1">
        <f t="array" ref="BN4">_xlfn._xlws.SORT(_xlfn._xlws.FILTER(tillage[tillage_level]&amp;" | "&amp;tillage[tillage_treatment_name],tillage[experiment_ID]=BN3))</f>
        <v xml:space="preserve"> | </v>
      </c>
      <c r="BO4" cm="1">
        <f t="array" ref="BO4:BO5">_xlfn._xlws.SORT(_xlfn._xlws.FILTER(tillage[tillage_level],tillage[experiment_ID]=BO3))</f>
        <v>1</v>
      </c>
      <c r="BP4" t="str" cm="1">
        <f t="array" ref="BP4">_xlfn._xlws.SORT(_xlfn._xlws.FILTER(tillage[tillage_level],tillage[experiment_ID]=BP3))</f>
        <v/>
      </c>
      <c r="BQ4" t="str" cm="1">
        <f t="array" ref="BQ4">_xlfn._xlws.SORT(_xlfn._xlws.FILTER(tillage[tillage_level],tillage[experiment_ID]=BQ3))</f>
        <v/>
      </c>
      <c r="BR4" t="str" cm="1">
        <f t="array" ref="BR4">_xlfn._xlws.SORT(_xlfn._xlws.FILTER(tillage[tillage_level],tillage[experiment_ID]=BR3))</f>
        <v/>
      </c>
      <c r="BS4" t="str" cm="1">
        <f t="array" ref="BS4">_xlfn._xlws.SORT(_xlfn._xlws.FILTER(tillage[tillage_level],tillage[experiment_ID]=BS3))</f>
        <v/>
      </c>
      <c r="BT4" t="str" cm="1">
        <f t="array" ref="BT4">_xlfn._xlws.SORT(_xlfn._xlws.FILTER(tillage[tillage_level],tillage[experiment_ID]=BT3))</f>
        <v/>
      </c>
      <c r="BU4" t="str" cm="1">
        <f t="array" ref="BU4">_xlfn._xlws.SORT(_xlfn._xlws.FILTER(tillage[tillage_level],tillage[experiment_ID]=BU3))</f>
        <v/>
      </c>
      <c r="BV4" t="str" cm="1">
        <f t="array" ref="BV4">_xlfn._xlws.SORT(_xlfn._xlws.FILTER(tillage[tillage_level],tillage[experiment_ID]=BV3))</f>
        <v/>
      </c>
      <c r="BW4" t="str" cm="1">
        <f t="array" ref="BW4">_xlfn._xlws.SORT(_xlfn._xlws.FILTER(tillage[tillage_level],tillage[experiment_ID]=BW3))</f>
        <v/>
      </c>
      <c r="BX4" t="str" cm="1">
        <f t="array" ref="BX4">_xlfn._xlws.SORT(_xlfn._xlws.FILTER(tillage[tillage_level],tillage[experiment_ID]=BX3))</f>
        <v/>
      </c>
      <c r="BY4" t="str" cm="1">
        <f t="array" ref="BY4">_xlfn._xlws.SORT(_xlfn._xlws.FILTER(tillage[tillage_level],tillage[experiment_ID]=BY3))</f>
        <v/>
      </c>
      <c r="BZ4" t="str" cm="1">
        <f t="array" ref="BZ4">_xlfn._xlws.SORT(_xlfn._xlws.FILTER(tillage[tillage_level],tillage[experiment_ID]=BZ3))</f>
        <v/>
      </c>
      <c r="CA4" t="str" cm="1">
        <f t="array" ref="CA4">_xlfn._xlws.SORT(_xlfn._xlws.FILTER(tillage[tillage_level],tillage[experiment_ID]=CA3))</f>
        <v/>
      </c>
      <c r="CB4" t="str" cm="1">
        <f t="array" ref="CB4">_xlfn._xlws.SORT(_xlfn._xlws.FILTER(tillage[tillage_level],tillage[experiment_ID]=CB3))</f>
        <v/>
      </c>
      <c r="CC4" t="str" cm="1">
        <f t="array" ref="CC4">_xlfn._xlws.SORT(_xlfn._xlws.FILTER(tillage[tillage_level],tillage[experiment_ID]=CC3))</f>
        <v/>
      </c>
      <c r="CD4" t="str" cm="1">
        <f t="array" ref="CD4">_xlfn._xlws.SORT(_xlfn._xlws.FILTER(tillage[tillage_level],tillage[experiment_ID]=CD3))</f>
        <v/>
      </c>
      <c r="CE4" t="str" cm="1">
        <f t="array" ref="CE4">_xlfn._xlws.SORT(_xlfn._xlws.FILTER(tillage[tillage_level],tillage[experiment_ID]=CE3))</f>
        <v/>
      </c>
      <c r="CF4" t="str" cm="1">
        <f t="array" ref="CF4">_xlfn._xlws.SORT(_xlfn._xlws.FILTER(tillage[tillage_level],tillage[experiment_ID]=CF3))</f>
        <v/>
      </c>
      <c r="CG4" t="str" cm="1">
        <f t="array" ref="CG4">_xlfn._xlws.SORT(_xlfn._xlws.FILTER(tillage[tillage_level],tillage[experiment_ID]=CG3))</f>
        <v/>
      </c>
      <c r="CH4" t="str" cm="1">
        <f t="array" ref="CH4">_xlfn._xlws.SORT(_xlfn._xlws.FILTER(tillage[tillage_level],tillage[experiment_ID]=CH3))</f>
        <v/>
      </c>
      <c r="CI4" t="str" cm="1">
        <f t="array" ref="CI4">_xlfn._xlws.SORT(_xlfn._xlws.FILTER(tillage[tillage_level],tillage[experiment_ID]=CI3))</f>
        <v/>
      </c>
      <c r="CK4" t="str" cm="1">
        <f t="array" ref="CK4:CK5">_xlfn._xlws.SORT(_xlfn._xlws.FILTER(plantings[planting_level]&amp;" | "&amp;plantings[planting_level_name],plantings[experiment_ID]=CK3))</f>
        <v>1 | Winter wheat sowing</v>
      </c>
      <c r="CL4" t="str" cm="1">
        <f t="array" ref="CL4:CL10">_xlfn._xlws.SORT(_xlfn._xlws.FILTER(plantings[planting_level]&amp;" | "&amp;plantings[planting_level_name],plantings[experiment_ID]=CL3))</f>
        <v>1 | Winter wheat 5 plants/m2</v>
      </c>
      <c r="CM4" t="str" cm="1">
        <f t="array" ref="CM4">_xlfn._xlws.SORT(_xlfn._xlws.FILTER(plantings[planting_level]&amp;" | "&amp;plantings[planting_level_name],plantings[experiment_ID]=CM3))</f>
        <v xml:space="preserve"> | </v>
      </c>
      <c r="CN4" t="str" cm="1">
        <f t="array" ref="CN4">_xlfn._xlws.SORT(_xlfn._xlws.FILTER(plantings[planting_level]&amp;" | "&amp;plantings[planting_level_name],plantings[experiment_ID]=CN3))</f>
        <v xml:space="preserve"> | </v>
      </c>
      <c r="CO4" t="str" cm="1">
        <f t="array" ref="CO4">_xlfn._xlws.SORT(_xlfn._xlws.FILTER(plantings[planting_level]&amp;" | "&amp;plantings[planting_level_name],plantings[experiment_ID]=CO3))</f>
        <v xml:space="preserve"> | </v>
      </c>
      <c r="CP4" t="str" cm="1">
        <f t="array" ref="CP4">_xlfn._xlws.SORT(_xlfn._xlws.FILTER(plantings[planting_level]&amp;" | "&amp;plantings[planting_level_name],plantings[experiment_ID]=CP3))</f>
        <v xml:space="preserve"> | </v>
      </c>
      <c r="CQ4" t="str" cm="1">
        <f t="array" ref="CQ4">_xlfn._xlws.SORT(_xlfn._xlws.FILTER(plantings[planting_level]&amp;" | "&amp;plantings[planting_level_name],plantings[experiment_ID]=CQ3))</f>
        <v xml:space="preserve"> | </v>
      </c>
      <c r="CR4" t="str" cm="1">
        <f t="array" ref="CR4">_xlfn._xlws.SORT(_xlfn._xlws.FILTER(plantings[planting_level]&amp;" | "&amp;plantings[planting_level_name],plantings[experiment_ID]=CR3))</f>
        <v xml:space="preserve"> | </v>
      </c>
      <c r="CS4" t="str" cm="1">
        <f t="array" ref="CS4">_xlfn._xlws.SORT(_xlfn._xlws.FILTER(plantings[planting_level]&amp;" | "&amp;plantings[planting_level_name],plantings[experiment_ID]=CS3))</f>
        <v xml:space="preserve"> | </v>
      </c>
      <c r="CT4" t="str" cm="1">
        <f t="array" ref="CT4">_xlfn._xlws.SORT(_xlfn._xlws.FILTER(plantings[planting_level]&amp;" | "&amp;plantings[planting_level_name],plantings[experiment_ID]=CT3))</f>
        <v xml:space="preserve"> | </v>
      </c>
      <c r="CU4" t="str" cm="1">
        <f t="array" ref="CU4">_xlfn._xlws.SORT(_xlfn._xlws.FILTER(plantings[planting_level]&amp;" | "&amp;plantings[planting_level_name],plantings[experiment_ID]=CU3))</f>
        <v xml:space="preserve"> | </v>
      </c>
      <c r="CV4" t="str" cm="1">
        <f t="array" ref="CV4">_xlfn._xlws.SORT(_xlfn._xlws.FILTER(plantings[planting_level]&amp;" | "&amp;plantings[planting_level_name],plantings[experiment_ID]=CV3))</f>
        <v xml:space="preserve"> | </v>
      </c>
      <c r="CW4" t="str" cm="1">
        <f t="array" ref="CW4">_xlfn._xlws.SORT(_xlfn._xlws.FILTER(plantings[planting_level]&amp;" | "&amp;plantings[planting_level_name],plantings[experiment_ID]=CW3))</f>
        <v xml:space="preserve"> | </v>
      </c>
      <c r="CX4" t="str" cm="1">
        <f t="array" ref="CX4">_xlfn._xlws.SORT(_xlfn._xlws.FILTER(plantings[planting_level]&amp;" | "&amp;plantings[planting_level_name],plantings[experiment_ID]=CX3))</f>
        <v xml:space="preserve"> | </v>
      </c>
      <c r="CY4" t="str" cm="1">
        <f t="array" ref="CY4">_xlfn._xlws.SORT(_xlfn._xlws.FILTER(plantings[planting_level]&amp;" | "&amp;plantings[planting_level_name],plantings[experiment_ID]=CY3))</f>
        <v xml:space="preserve"> | </v>
      </c>
      <c r="CZ4" t="str" cm="1">
        <f t="array" ref="CZ4">_xlfn._xlws.SORT(_xlfn._xlws.FILTER(plantings[planting_level]&amp;" | "&amp;plantings[planting_level_name],plantings[experiment_ID]=CZ3))</f>
        <v xml:space="preserve"> | </v>
      </c>
      <c r="DA4" t="str" cm="1">
        <f t="array" ref="DA4">_xlfn._xlws.SORT(_xlfn._xlws.FILTER(plantings[planting_level]&amp;" | "&amp;plantings[planting_level_name],plantings[experiment_ID]=DA3))</f>
        <v xml:space="preserve"> | </v>
      </c>
      <c r="DB4" t="str" cm="1">
        <f t="array" ref="DB4">_xlfn._xlws.SORT(_xlfn._xlws.FILTER(plantings[planting_level]&amp;" | "&amp;plantings[planting_level_name],plantings[experiment_ID]=DB3))</f>
        <v xml:space="preserve"> | </v>
      </c>
      <c r="DC4" t="str" cm="1">
        <f t="array" ref="DC4">_xlfn._xlws.SORT(_xlfn._xlws.FILTER(plantings[planting_level]&amp;" | "&amp;plantings[planting_level_name],plantings[experiment_ID]=DC3))</f>
        <v xml:space="preserve"> | </v>
      </c>
      <c r="DD4" t="str" cm="1">
        <f t="array" ref="DD4">_xlfn._xlws.SORT(_xlfn._xlws.FILTER(plantings[planting_level]&amp;" | "&amp;plantings[planting_level_name],plantings[experiment_ID]=DD3))</f>
        <v xml:space="preserve"> | </v>
      </c>
      <c r="DF4" t="str" cm="1">
        <f t="array" ref="DF4">_xlfn._xlws.SORT(_xlfn._xlws.FILTER(initialConditions[initial_conditions_level]&amp;" | "&amp;initialConditions[initial_conditions_name],initialConditions[experiment_ID]=DF3))</f>
        <v xml:space="preserve">1 | </v>
      </c>
      <c r="DG4" t="str" cm="1">
        <f t="array" ref="DG4">_xlfn._xlws.SORT(_xlfn._xlws.FILTER(initialConditions[initial_conditions_level]&amp;" | "&amp;initialConditions[initial_conditions_name],initialConditions[experiment_ID]=DG3))</f>
        <v xml:space="preserve"> | </v>
      </c>
      <c r="DH4" t="str" cm="1">
        <f t="array" ref="DH4">_xlfn._xlws.SORT(_xlfn._xlws.FILTER(initialConditions[initial_conditions_level]&amp;" | "&amp;initialConditions[initial_conditions_name],initialConditions[experiment_ID]=DH3))</f>
        <v xml:space="preserve"> | </v>
      </c>
      <c r="DI4" t="str" cm="1">
        <f t="array" ref="DI4">_xlfn._xlws.SORT(_xlfn._xlws.FILTER(initialConditions[initial_conditions_level]&amp;" | "&amp;initialConditions[initial_conditions_name],initialConditions[experiment_ID]=DI3))</f>
        <v xml:space="preserve"> | </v>
      </c>
      <c r="DJ4" t="str" cm="1">
        <f t="array" ref="DJ4">_xlfn._xlws.SORT(_xlfn._xlws.FILTER(initialConditions[initial_conditions_level]&amp;" | "&amp;initialConditions[initial_conditions_name],initialConditions[experiment_ID]=DJ3))</f>
        <v xml:space="preserve"> | </v>
      </c>
      <c r="DK4" t="str" cm="1">
        <f t="array" ref="DK4">_xlfn._xlws.SORT(_xlfn._xlws.FILTER(initialConditions[initial_conditions_level]&amp;" | "&amp;initialConditions[initial_conditions_name],initialConditions[experiment_ID]=DK3))</f>
        <v xml:space="preserve"> | </v>
      </c>
      <c r="DL4" t="str" cm="1">
        <f t="array" ref="DL4">_xlfn._xlws.SORT(_xlfn._xlws.FILTER(initialConditions[initial_conditions_level]&amp;" | "&amp;initialConditions[initial_conditions_name],initialConditions[experiment_ID]=DL3))</f>
        <v xml:space="preserve"> | </v>
      </c>
      <c r="DM4" t="str" cm="1">
        <f t="array" ref="DM4">_xlfn._xlws.SORT(_xlfn._xlws.FILTER(initialConditions[initial_conditions_level]&amp;" | "&amp;initialConditions[initial_conditions_name],initialConditions[experiment_ID]=DM3))</f>
        <v xml:space="preserve"> | </v>
      </c>
      <c r="DN4" t="str" cm="1">
        <f t="array" ref="DN4">_xlfn._xlws.SORT(_xlfn._xlws.FILTER(initialConditions[initial_conditions_level]&amp;" | "&amp;initialConditions[initial_conditions_name],initialConditions[experiment_ID]=DN3))</f>
        <v xml:space="preserve"> | </v>
      </c>
      <c r="DO4" t="str" cm="1">
        <f t="array" ref="DO4">_xlfn._xlws.SORT(_xlfn._xlws.FILTER(initialConditions[initial_conditions_level]&amp;" | "&amp;initialConditions[initial_conditions_name],initialConditions[experiment_ID]=DO3))</f>
        <v xml:space="preserve"> | </v>
      </c>
      <c r="DP4" t="str" cm="1">
        <f t="array" ref="DP4">_xlfn._xlws.SORT(_xlfn._xlws.FILTER(initialConditions[initial_conditions_level]&amp;" | "&amp;initialConditions[initial_conditions_name],initialConditions[experiment_ID]=DP3))</f>
        <v xml:space="preserve"> | </v>
      </c>
      <c r="DQ4" t="str" cm="1">
        <f t="array" ref="DQ4">_xlfn._xlws.SORT(_xlfn._xlws.FILTER(initialConditions[initial_conditions_level]&amp;" | "&amp;initialConditions[initial_conditions_name],initialConditions[experiment_ID]=DQ3))</f>
        <v xml:space="preserve"> | </v>
      </c>
      <c r="DR4" t="str" cm="1">
        <f t="array" ref="DR4">_xlfn._xlws.SORT(_xlfn._xlws.FILTER(initialConditions[initial_conditions_level]&amp;" | "&amp;initialConditions[initial_conditions_name],initialConditions[experiment_ID]=DR3))</f>
        <v xml:space="preserve"> | </v>
      </c>
      <c r="DS4" t="str" cm="1">
        <f t="array" ref="DS4">_xlfn._xlws.SORT(_xlfn._xlws.FILTER(initialConditions[initial_conditions_level]&amp;" | "&amp;initialConditions[initial_conditions_name],initialConditions[experiment_ID]=DS3))</f>
        <v xml:space="preserve"> | </v>
      </c>
      <c r="DT4" t="str" cm="1">
        <f t="array" ref="DT4">_xlfn._xlws.SORT(_xlfn._xlws.FILTER(initialConditions[initial_conditions_level]&amp;" | "&amp;initialConditions[initial_conditions_name],initialConditions[experiment_ID]=DT3))</f>
        <v xml:space="preserve"> | </v>
      </c>
      <c r="DU4" t="str" cm="1">
        <f t="array" ref="DU4">_xlfn._xlws.SORT(_xlfn._xlws.FILTER(initialConditions[initial_conditions_level]&amp;" | "&amp;initialConditions[initial_conditions_name],initialConditions[experiment_ID]=DU3))</f>
        <v xml:space="preserve"> | </v>
      </c>
      <c r="DV4" t="str" cm="1">
        <f t="array" ref="DV4">_xlfn._xlws.SORT(_xlfn._xlws.FILTER(initialConditions[initial_conditions_level]&amp;" | "&amp;initialConditions[initial_conditions_name],initialConditions[experiment_ID]=DV3))</f>
        <v xml:space="preserve"> | </v>
      </c>
      <c r="DW4" t="str" cm="1">
        <f t="array" ref="DW4">_xlfn._xlws.SORT(_xlfn._xlws.FILTER(initialConditions[initial_conditions_level]&amp;" | "&amp;initialConditions[initial_conditions_name],initialConditions[experiment_ID]=DW3))</f>
        <v xml:space="preserve"> | </v>
      </c>
      <c r="DX4" t="str" cm="1">
        <f t="array" ref="DX4">_xlfn._xlws.SORT(_xlfn._xlws.FILTER(initialConditions[initial_conditions_level]&amp;" | "&amp;initialConditions[initial_conditions_name],initialConditions[experiment_ID]=DX3))</f>
        <v xml:space="preserve"> | </v>
      </c>
      <c r="DY4" t="str" cm="1">
        <f t="array" ref="DY4">_xlfn._xlws.SORT(_xlfn._xlws.FILTER(initialConditions[initial_conditions_level]&amp;" | "&amp;initialConditions[initial_conditions_name],initialConditions[experiment_ID]=DY3))</f>
        <v xml:space="preserve"> | </v>
      </c>
      <c r="DZ4" cm="1">
        <f t="array" ref="DZ4">_xlfn._xlws.SORT(_xlfn._xlws.FILTER(initialConditions[initial_conditions_level],initialConditions[experiment_ID]=DZ3))</f>
        <v>1</v>
      </c>
      <c r="EA4" t="str" cm="1">
        <f t="array" ref="EA4">_xlfn._xlws.SORT(_xlfn._xlws.FILTER(initialConditions[initial_conditions_level],initialConditions[experiment_ID]=EA3))</f>
        <v/>
      </c>
      <c r="EB4" t="str" cm="1">
        <f t="array" ref="EB4">_xlfn._xlws.SORT(_xlfn._xlws.FILTER(initialConditions[initial_conditions_level],initialConditions[experiment_ID]=EB3))</f>
        <v/>
      </c>
      <c r="EC4" t="str" cm="1">
        <f t="array" ref="EC4">_xlfn._xlws.SORT(_xlfn._xlws.FILTER(initialConditions[initial_conditions_level],initialConditions[experiment_ID]=EC3))</f>
        <v/>
      </c>
      <c r="ED4" t="str" cm="1">
        <f t="array" ref="ED4">_xlfn._xlws.SORT(_xlfn._xlws.FILTER(initialConditions[initial_conditions_level],initialConditions[experiment_ID]=ED3))</f>
        <v/>
      </c>
      <c r="EE4" t="str" cm="1">
        <f t="array" ref="EE4">_xlfn._xlws.SORT(_xlfn._xlws.FILTER(initialConditions[initial_conditions_level],initialConditions[experiment_ID]=EE3))</f>
        <v/>
      </c>
      <c r="EF4" t="str" cm="1">
        <f t="array" ref="EF4">_xlfn._xlws.SORT(_xlfn._xlws.FILTER(initialConditions[initial_conditions_level],initialConditions[experiment_ID]=EF3))</f>
        <v/>
      </c>
      <c r="EG4" t="str" cm="1">
        <f t="array" ref="EG4">_xlfn._xlws.SORT(_xlfn._xlws.FILTER(initialConditions[initial_conditions_level],initialConditions[experiment_ID]=EG3))</f>
        <v/>
      </c>
      <c r="EH4" t="str" cm="1">
        <f t="array" ref="EH4">_xlfn._xlws.SORT(_xlfn._xlws.FILTER(initialConditions[initial_conditions_level],initialConditions[experiment_ID]=EH3))</f>
        <v/>
      </c>
      <c r="EI4" t="str" cm="1">
        <f t="array" ref="EI4">_xlfn._xlws.SORT(_xlfn._xlws.FILTER(initialConditions[initial_conditions_level],initialConditions[experiment_ID]=EI3))</f>
        <v/>
      </c>
      <c r="EJ4" t="str" cm="1">
        <f t="array" ref="EJ4">_xlfn._xlws.SORT(_xlfn._xlws.FILTER(initialConditions[initial_conditions_level],initialConditions[experiment_ID]=EJ3))</f>
        <v/>
      </c>
      <c r="EK4" t="str" cm="1">
        <f t="array" ref="EK4">_xlfn._xlws.SORT(_xlfn._xlws.FILTER(initialConditions[initial_conditions_level],initialConditions[experiment_ID]=EK3))</f>
        <v/>
      </c>
      <c r="EL4" t="str" cm="1">
        <f t="array" ref="EL4">_xlfn._xlws.SORT(_xlfn._xlws.FILTER(initialConditions[initial_conditions_level],initialConditions[experiment_ID]=EL3))</f>
        <v/>
      </c>
      <c r="EM4" t="str" cm="1">
        <f t="array" ref="EM4">_xlfn._xlws.SORT(_xlfn._xlws.FILTER(initialConditions[initial_conditions_level],initialConditions[experiment_ID]=EM3))</f>
        <v/>
      </c>
      <c r="EN4" t="str" cm="1">
        <f t="array" ref="EN4">_xlfn._xlws.SORT(_xlfn._xlws.FILTER(initialConditions[initial_conditions_level],initialConditions[experiment_ID]=EN3))</f>
        <v/>
      </c>
      <c r="EO4" t="str" cm="1">
        <f t="array" ref="EO4">_xlfn._xlws.SORT(_xlfn._xlws.FILTER(initialConditions[initial_conditions_level],initialConditions[experiment_ID]=EO3))</f>
        <v/>
      </c>
      <c r="EP4" t="str" cm="1">
        <f t="array" ref="EP4">_xlfn._xlws.SORT(_xlfn._xlws.FILTER(initialConditions[initial_conditions_level],initialConditions[experiment_ID]=EP3))</f>
        <v/>
      </c>
      <c r="EQ4" t="str" cm="1">
        <f t="array" ref="EQ4">_xlfn._xlws.SORT(_xlfn._xlws.FILTER(initialConditions[initial_conditions_level],initialConditions[experiment_ID]=EQ3))</f>
        <v/>
      </c>
      <c r="ER4" t="str" cm="1">
        <f t="array" ref="ER4">_xlfn._xlws.SORT(_xlfn._xlws.FILTER(initialConditions[initial_conditions_level],initialConditions[experiment_ID]=ER3))</f>
        <v/>
      </c>
      <c r="ES4" t="str" cm="1">
        <f t="array" ref="ES4">_xlfn._xlws.SORT(_xlfn._xlws.FILTER(initialConditions[initial_conditions_level],initialConditions[experiment_ID]=ES3))</f>
        <v/>
      </c>
      <c r="ET4" t="str" cm="1">
        <f t="array" ref="ET4">_xlfn._xlws.SORT(_xlfn._xlws.FILTER(initialConditions[initial_conditions_level],initialConditions[experiment_ID]=ET3))</f>
        <v/>
      </c>
      <c r="EV4" t="str" cm="1">
        <f t="array" ref="EV4">_xlfn._xlws.SORT(_xlfn._xlws.FILTER(irrigation[irrigation_level]&amp;" | "&amp;irrigation[irrigation_level_name],irrigation[experiment_ID]=EV3))</f>
        <v>1 | Rainfed</v>
      </c>
      <c r="EW4" t="str" cm="1">
        <f t="array" ref="EW4">_xlfn._xlws.SORT(_xlfn._xlws.FILTER(irrigation[irrigation_level]&amp;" | "&amp;irrigation[irrigation_level_name],irrigation[experiment_ID]=EW3))</f>
        <v>1 | Rainfed</v>
      </c>
      <c r="EX4" t="str" cm="1">
        <f t="array" ref="EX4">_xlfn._xlws.SORT(_xlfn._xlws.FILTER(irrigation[irrigation_level]&amp;" | "&amp;irrigation[irrigation_level_name],irrigation[experiment_ID]=EX3))</f>
        <v xml:space="preserve"> | </v>
      </c>
      <c r="EY4" t="str" cm="1">
        <f t="array" ref="EY4">_xlfn._xlws.SORT(_xlfn._xlws.FILTER(irrigation[irrigation_level]&amp;" | "&amp;irrigation[irrigation_level_name],irrigation[experiment_ID]=EY3))</f>
        <v xml:space="preserve"> | </v>
      </c>
      <c r="EZ4" t="str" cm="1">
        <f t="array" ref="EZ4">_xlfn._xlws.SORT(_xlfn._xlws.FILTER(irrigation[irrigation_level]&amp;" | "&amp;irrigation[irrigation_level_name],irrigation[experiment_ID]=EZ3))</f>
        <v xml:space="preserve"> | </v>
      </c>
      <c r="FA4" t="str" cm="1">
        <f t="array" ref="FA4">_xlfn._xlws.SORT(_xlfn._xlws.FILTER(irrigation[irrigation_level]&amp;" | "&amp;irrigation[irrigation_level_name],irrigation[experiment_ID]=FA3))</f>
        <v xml:space="preserve"> | </v>
      </c>
      <c r="FB4" t="str" cm="1">
        <f t="array" ref="FB4">_xlfn._xlws.SORT(_xlfn._xlws.FILTER(irrigation[irrigation_level]&amp;" | "&amp;irrigation[irrigation_level_name],irrigation[experiment_ID]=FB3))</f>
        <v xml:space="preserve"> | </v>
      </c>
      <c r="FC4" t="str" cm="1">
        <f t="array" ref="FC4">_xlfn._xlws.SORT(_xlfn._xlws.FILTER(irrigation[irrigation_level]&amp;" | "&amp;irrigation[irrigation_level_name],irrigation[experiment_ID]=FC3))</f>
        <v xml:space="preserve"> | </v>
      </c>
      <c r="FD4" t="str" cm="1">
        <f t="array" ref="FD4">_xlfn._xlws.SORT(_xlfn._xlws.FILTER(irrigation[irrigation_level]&amp;" | "&amp;irrigation[irrigation_level_name],irrigation[experiment_ID]=FD3))</f>
        <v xml:space="preserve"> | </v>
      </c>
      <c r="FE4" t="str" cm="1">
        <f t="array" ref="FE4">_xlfn._xlws.SORT(_xlfn._xlws.FILTER(irrigation[irrigation_level]&amp;" | "&amp;irrigation[irrigation_level_name],irrigation[experiment_ID]=FE3))</f>
        <v xml:space="preserve"> | </v>
      </c>
      <c r="FF4" t="str" cm="1">
        <f t="array" ref="FF4">_xlfn._xlws.SORT(_xlfn._xlws.FILTER(irrigation[irrigation_level]&amp;" | "&amp;irrigation[irrigation_level_name],irrigation[experiment_ID]=FF3))</f>
        <v xml:space="preserve"> | </v>
      </c>
      <c r="FG4" t="str" cm="1">
        <f t="array" ref="FG4">_xlfn._xlws.SORT(_xlfn._xlws.FILTER(irrigation[irrigation_level]&amp;" | "&amp;irrigation[irrigation_level_name],irrigation[experiment_ID]=FG3))</f>
        <v xml:space="preserve"> | </v>
      </c>
      <c r="FH4" t="str" cm="1">
        <f t="array" ref="FH4">_xlfn._xlws.SORT(_xlfn._xlws.FILTER(irrigation[irrigation_level]&amp;" | "&amp;irrigation[irrigation_level_name],irrigation[experiment_ID]=FH3))</f>
        <v xml:space="preserve"> | </v>
      </c>
      <c r="FI4" t="str" cm="1">
        <f t="array" ref="FI4">_xlfn._xlws.SORT(_xlfn._xlws.FILTER(irrigation[irrigation_level]&amp;" | "&amp;irrigation[irrigation_level_name],irrigation[experiment_ID]=FI3))</f>
        <v xml:space="preserve"> | </v>
      </c>
      <c r="FJ4" t="str" cm="1">
        <f t="array" ref="FJ4">_xlfn._xlws.SORT(_xlfn._xlws.FILTER(irrigation[irrigation_level]&amp;" | "&amp;irrigation[irrigation_level_name],irrigation[experiment_ID]=FJ3))</f>
        <v xml:space="preserve"> | </v>
      </c>
      <c r="FK4" t="str" cm="1">
        <f t="array" ref="FK4">_xlfn._xlws.SORT(_xlfn._xlws.FILTER(irrigation[irrigation_level]&amp;" | "&amp;irrigation[irrigation_level_name],irrigation[experiment_ID]=FK3))</f>
        <v xml:space="preserve"> | </v>
      </c>
      <c r="FL4" t="str" cm="1">
        <f t="array" ref="FL4">_xlfn._xlws.SORT(_xlfn._xlws.FILTER(irrigation[irrigation_level]&amp;" | "&amp;irrigation[irrigation_level_name],irrigation[experiment_ID]=FL3))</f>
        <v xml:space="preserve"> | </v>
      </c>
      <c r="FM4" t="str" cm="1">
        <f t="array" ref="FM4">_xlfn._xlws.SORT(_xlfn._xlws.FILTER(irrigation[irrigation_level]&amp;" | "&amp;irrigation[irrigation_level_name],irrigation[experiment_ID]=FM3))</f>
        <v xml:space="preserve"> | </v>
      </c>
      <c r="FN4" t="str" cm="1">
        <f t="array" ref="FN4">_xlfn._xlws.SORT(_xlfn._xlws.FILTER(irrigation[irrigation_level]&amp;" | "&amp;irrigation[irrigation_level_name],irrigation[experiment_ID]=FN3))</f>
        <v xml:space="preserve"> | </v>
      </c>
      <c r="FO4" t="str" cm="1">
        <f t="array" ref="FO4">_xlfn._xlws.SORT(_xlfn._xlws.FILTER(irrigation[irrigation_level]&amp;" | "&amp;irrigation[irrigation_level_name],irrigation[experiment_ID]=FO3))</f>
        <v xml:space="preserve"> | </v>
      </c>
      <c r="FP4" cm="1">
        <f t="array" ref="FP4">_xlfn._xlws.SORT(_xlfn._xlws.FILTER(irrigation[irrigation_level],irrigation[experiment_ID]=FP3))</f>
        <v>1</v>
      </c>
      <c r="FQ4" cm="1">
        <f t="array" ref="FQ4">_xlfn._xlws.SORT(_xlfn._xlws.FILTER(irrigation[irrigation_level],irrigation[experiment_ID]=FQ3))</f>
        <v>1</v>
      </c>
      <c r="FR4" t="str" cm="1">
        <f t="array" ref="FR4">_xlfn._xlws.SORT(_xlfn._xlws.FILTER(irrigation[irrigation_level],irrigation[experiment_ID]=FR3))</f>
        <v/>
      </c>
      <c r="FS4" t="str" cm="1">
        <f t="array" ref="FS4">_xlfn._xlws.SORT(_xlfn._xlws.FILTER(irrigation[irrigation_level],irrigation[experiment_ID]=FS3))</f>
        <v/>
      </c>
      <c r="FT4" t="str" cm="1">
        <f t="array" ref="FT4">_xlfn._xlws.SORT(_xlfn._xlws.FILTER(irrigation[irrigation_level],irrigation[experiment_ID]=FT3))</f>
        <v/>
      </c>
      <c r="FU4" t="str" cm="1">
        <f t="array" ref="FU4">_xlfn._xlws.SORT(_xlfn._xlws.FILTER(irrigation[irrigation_level],irrigation[experiment_ID]=FU3))</f>
        <v/>
      </c>
      <c r="FV4" t="str" cm="1">
        <f t="array" ref="FV4">_xlfn._xlws.SORT(_xlfn._xlws.FILTER(irrigation[irrigation_level],irrigation[experiment_ID]=FV3))</f>
        <v/>
      </c>
      <c r="FW4" t="str" cm="1">
        <f t="array" ref="FW4">_xlfn._xlws.SORT(_xlfn._xlws.FILTER(irrigation[irrigation_level],irrigation[experiment_ID]=FW3))</f>
        <v/>
      </c>
      <c r="FX4" t="str" cm="1">
        <f t="array" ref="FX4">_xlfn._xlws.SORT(_xlfn._xlws.FILTER(irrigation[irrigation_level],irrigation[experiment_ID]=FX3))</f>
        <v/>
      </c>
      <c r="FY4" t="str" cm="1">
        <f t="array" ref="FY4">_xlfn._xlws.SORT(_xlfn._xlws.FILTER(irrigation[irrigation_level],irrigation[experiment_ID]=FY3))</f>
        <v/>
      </c>
      <c r="FZ4" t="str" cm="1">
        <f t="array" ref="FZ4">_xlfn._xlws.SORT(_xlfn._xlws.FILTER(irrigation[irrigation_level],irrigation[experiment_ID]=FZ3))</f>
        <v/>
      </c>
      <c r="GA4" t="str" cm="1">
        <f t="array" ref="GA4">_xlfn._xlws.SORT(_xlfn._xlws.FILTER(irrigation[irrigation_level],irrigation[experiment_ID]=GA3))</f>
        <v/>
      </c>
      <c r="GB4" t="str" cm="1">
        <f t="array" ref="GB4">_xlfn._xlws.SORT(_xlfn._xlws.FILTER(irrigation[irrigation_level],irrigation[experiment_ID]=GB3))</f>
        <v/>
      </c>
      <c r="GC4" t="str" cm="1">
        <f t="array" ref="GC4">_xlfn._xlws.SORT(_xlfn._xlws.FILTER(irrigation[irrigation_level],irrigation[experiment_ID]=GC3))</f>
        <v/>
      </c>
      <c r="GD4" t="str" cm="1">
        <f t="array" ref="GD4">_xlfn._xlws.SORT(_xlfn._xlws.FILTER(irrigation[irrigation_level],irrigation[experiment_ID]=GD3))</f>
        <v/>
      </c>
      <c r="GE4" t="str" cm="1">
        <f t="array" ref="GE4">_xlfn._xlws.SORT(_xlfn._xlws.FILTER(irrigation[irrigation_level],irrigation[experiment_ID]=GE3))</f>
        <v/>
      </c>
      <c r="GF4" t="str" cm="1">
        <f t="array" ref="GF4">_xlfn._xlws.SORT(_xlfn._xlws.FILTER(irrigation[irrigation_level],irrigation[experiment_ID]=GF3))</f>
        <v/>
      </c>
      <c r="GG4" t="str" cm="1">
        <f t="array" ref="GG4">_xlfn._xlws.SORT(_xlfn._xlws.FILTER(irrigation[irrigation_level],irrigation[experiment_ID]=GG3))</f>
        <v/>
      </c>
      <c r="GH4" t="str" cm="1">
        <f t="array" ref="GH4">_xlfn._xlws.SORT(_xlfn._xlws.FILTER(irrigation[irrigation_level],irrigation[experiment_ID]=GH3))</f>
        <v/>
      </c>
      <c r="GI4" t="str" cm="1">
        <f t="array" ref="GI4">_xlfn._xlws.SORT(_xlfn._xlws.FILTER(irrigation[irrigation_level],irrigation[experiment_ID]=GI3))</f>
        <v/>
      </c>
      <c r="GK4" t="e" cm="1" vm="2">
        <f t="array" ref="GK4">_xlfn._xlws.SORT(_xlfn._xlws.FILTER(organicMaterials[org_materials_applic_lev]&amp;" | "&amp;organicMaterials[org_material_applic_name],organicMaterials[experiment_ID]=GK3))</f>
        <v>#VALUE!</v>
      </c>
      <c r="GL4" t="str" cm="1">
        <f t="array" ref="GL4">_xlfn._xlws.SORT(_xlfn._xlws.FILTER(organicMaterials[org_materials_applic_lev]&amp;" | "&amp;organicMaterials[org_material_applic_name],organicMaterials[experiment_ID]=GL3))</f>
        <v xml:space="preserve"> | </v>
      </c>
      <c r="GM4" t="str" cm="1">
        <f t="array" ref="GM4">_xlfn._xlws.SORT(_xlfn._xlws.FILTER(organicMaterials[org_materials_applic_lev]&amp;" | "&amp;organicMaterials[org_material_applic_name],organicMaterials[experiment_ID]=GM3))</f>
        <v xml:space="preserve"> | </v>
      </c>
      <c r="GN4" t="str" cm="1">
        <f t="array" ref="GN4">_xlfn._xlws.SORT(_xlfn._xlws.FILTER(organicMaterials[org_materials_applic_lev]&amp;" | "&amp;organicMaterials[org_material_applic_name],organicMaterials[experiment_ID]=GN3))</f>
        <v xml:space="preserve"> | </v>
      </c>
      <c r="GO4" t="str" cm="1">
        <f t="array" ref="GO4">_xlfn._xlws.SORT(_xlfn._xlws.FILTER(organicMaterials[org_materials_applic_lev]&amp;" | "&amp;organicMaterials[org_material_applic_name],organicMaterials[experiment_ID]=GO3))</f>
        <v xml:space="preserve"> | </v>
      </c>
      <c r="GP4" t="str" cm="1">
        <f t="array" ref="GP4">_xlfn._xlws.SORT(_xlfn._xlws.FILTER(organicMaterials[org_materials_applic_lev]&amp;" | "&amp;organicMaterials[org_material_applic_name],organicMaterials[experiment_ID]=GP3))</f>
        <v xml:space="preserve"> | </v>
      </c>
      <c r="GQ4" t="str" cm="1">
        <f t="array" ref="GQ4">_xlfn._xlws.SORT(_xlfn._xlws.FILTER(organicMaterials[org_materials_applic_lev]&amp;" | "&amp;organicMaterials[org_material_applic_name],organicMaterials[experiment_ID]=GQ3))</f>
        <v xml:space="preserve"> | </v>
      </c>
      <c r="GR4" t="str" cm="1">
        <f t="array" ref="GR4">_xlfn._xlws.SORT(_xlfn._xlws.FILTER(organicMaterials[org_materials_applic_lev]&amp;" | "&amp;organicMaterials[org_material_applic_name],organicMaterials[experiment_ID]=GR3))</f>
        <v xml:space="preserve"> | </v>
      </c>
      <c r="GS4" t="str" cm="1">
        <f t="array" ref="GS4">_xlfn._xlws.SORT(_xlfn._xlws.FILTER(organicMaterials[org_materials_applic_lev]&amp;" | "&amp;organicMaterials[org_material_applic_name],organicMaterials[experiment_ID]=GS3))</f>
        <v xml:space="preserve"> | </v>
      </c>
      <c r="GT4" t="str" cm="1">
        <f t="array" ref="GT4">_xlfn._xlws.SORT(_xlfn._xlws.FILTER(organicMaterials[org_materials_applic_lev]&amp;" | "&amp;organicMaterials[org_material_applic_name],organicMaterials[experiment_ID]=GT3))</f>
        <v xml:space="preserve"> | </v>
      </c>
      <c r="GU4" t="str" cm="1">
        <f t="array" ref="GU4">_xlfn._xlws.SORT(_xlfn._xlws.FILTER(organicMaterials[org_materials_applic_lev]&amp;" | "&amp;organicMaterials[org_material_applic_name],organicMaterials[experiment_ID]=GU3))</f>
        <v xml:space="preserve"> | </v>
      </c>
      <c r="GV4" t="str" cm="1">
        <f t="array" ref="GV4">_xlfn._xlws.SORT(_xlfn._xlws.FILTER(organicMaterials[org_materials_applic_lev]&amp;" | "&amp;organicMaterials[org_material_applic_name],organicMaterials[experiment_ID]=GV3))</f>
        <v xml:space="preserve"> | </v>
      </c>
      <c r="GW4" t="str" cm="1">
        <f t="array" ref="GW4">_xlfn._xlws.SORT(_xlfn._xlws.FILTER(organicMaterials[org_materials_applic_lev]&amp;" | "&amp;organicMaterials[org_material_applic_name],organicMaterials[experiment_ID]=GW3))</f>
        <v xml:space="preserve"> | </v>
      </c>
      <c r="GX4" t="str" cm="1">
        <f t="array" ref="GX4">_xlfn._xlws.SORT(_xlfn._xlws.FILTER(organicMaterials[org_materials_applic_lev]&amp;" | "&amp;organicMaterials[org_material_applic_name],organicMaterials[experiment_ID]=GX3))</f>
        <v xml:space="preserve"> | </v>
      </c>
      <c r="GY4" t="str" cm="1">
        <f t="array" ref="GY4">_xlfn._xlws.SORT(_xlfn._xlws.FILTER(organicMaterials[org_materials_applic_lev]&amp;" | "&amp;organicMaterials[org_material_applic_name],organicMaterials[experiment_ID]=GY3))</f>
        <v xml:space="preserve"> | </v>
      </c>
      <c r="GZ4" t="str" cm="1">
        <f t="array" ref="GZ4">_xlfn._xlws.SORT(_xlfn._xlws.FILTER(organicMaterials[org_materials_applic_lev]&amp;" | "&amp;organicMaterials[org_material_applic_name],organicMaterials[experiment_ID]=GZ3))</f>
        <v xml:space="preserve"> | </v>
      </c>
      <c r="HA4" t="str" cm="1">
        <f t="array" ref="HA4">_xlfn._xlws.SORT(_xlfn._xlws.FILTER(organicMaterials[org_materials_applic_lev]&amp;" | "&amp;organicMaterials[org_material_applic_name],organicMaterials[experiment_ID]=HA3))</f>
        <v xml:space="preserve"> | </v>
      </c>
      <c r="HB4" t="str" cm="1">
        <f t="array" ref="HB4">_xlfn._xlws.SORT(_xlfn._xlws.FILTER(organicMaterials[org_materials_applic_lev]&amp;" | "&amp;organicMaterials[org_material_applic_name],organicMaterials[experiment_ID]=HB3))</f>
        <v xml:space="preserve"> | </v>
      </c>
      <c r="HC4" t="str" cm="1">
        <f t="array" ref="HC4">_xlfn._xlws.SORT(_xlfn._xlws.FILTER(organicMaterials[org_materials_applic_lev]&amp;" | "&amp;organicMaterials[org_material_applic_name],organicMaterials[experiment_ID]=HC3))</f>
        <v xml:space="preserve"> | </v>
      </c>
      <c r="HD4" t="str" cm="1">
        <f t="array" ref="HD4">_xlfn._xlws.SORT(_xlfn._xlws.FILTER(organicMaterials[org_materials_applic_lev]&amp;" | "&amp;organicMaterials[org_material_applic_name],organicMaterials[experiment_ID]=HD3))</f>
        <v xml:space="preserve"> | </v>
      </c>
      <c r="HE4" t="e" cm="1" vm="2">
        <f t="array" ref="HE4">_xlfn._xlws.SORT(_xlfn._xlws.FILTER(organicMaterials[org_materials_applic_lev],organicMaterials[experiment_ID]=HE3))</f>
        <v>#VALUE!</v>
      </c>
      <c r="HF4" t="str" cm="1">
        <f t="array" ref="HF4">_xlfn._xlws.SORT(_xlfn._xlws.FILTER(organicMaterials[org_materials_applic_lev],organicMaterials[experiment_ID]=HF3))</f>
        <v/>
      </c>
      <c r="HG4" t="str" cm="1">
        <f t="array" ref="HG4">_xlfn._xlws.SORT(_xlfn._xlws.FILTER(organicMaterials[org_materials_applic_lev],organicMaterials[experiment_ID]=HG3))</f>
        <v/>
      </c>
      <c r="HH4" t="str" cm="1">
        <f t="array" ref="HH4">_xlfn._xlws.SORT(_xlfn._xlws.FILTER(organicMaterials[org_materials_applic_lev],organicMaterials[experiment_ID]=HH3))</f>
        <v/>
      </c>
      <c r="HI4" t="str" cm="1">
        <f t="array" ref="HI4">_xlfn._xlws.SORT(_xlfn._xlws.FILTER(organicMaterials[org_materials_applic_lev],organicMaterials[experiment_ID]=HI3))</f>
        <v/>
      </c>
      <c r="HJ4" t="str" cm="1">
        <f t="array" ref="HJ4">_xlfn._xlws.SORT(_xlfn._xlws.FILTER(organicMaterials[org_materials_applic_lev],organicMaterials[experiment_ID]=HJ3))</f>
        <v/>
      </c>
      <c r="HK4" t="str" cm="1">
        <f t="array" ref="HK4">_xlfn._xlws.SORT(_xlfn._xlws.FILTER(organicMaterials[org_materials_applic_lev],organicMaterials[experiment_ID]=HK3))</f>
        <v/>
      </c>
      <c r="HL4" t="str" cm="1">
        <f t="array" ref="HL4">_xlfn._xlws.SORT(_xlfn._xlws.FILTER(organicMaterials[org_materials_applic_lev],organicMaterials[experiment_ID]=HL3))</f>
        <v/>
      </c>
      <c r="HM4" t="str" cm="1">
        <f t="array" ref="HM4">_xlfn._xlws.SORT(_xlfn._xlws.FILTER(organicMaterials[org_materials_applic_lev],organicMaterials[experiment_ID]=HM3))</f>
        <v/>
      </c>
      <c r="HN4" t="str" cm="1">
        <f t="array" ref="HN4">_xlfn._xlws.SORT(_xlfn._xlws.FILTER(organicMaterials[org_materials_applic_lev],organicMaterials[experiment_ID]=HN3))</f>
        <v/>
      </c>
      <c r="HO4" t="str" cm="1">
        <f t="array" ref="HO4">_xlfn._xlws.SORT(_xlfn._xlws.FILTER(organicMaterials[org_materials_applic_lev],organicMaterials[experiment_ID]=HO3))</f>
        <v/>
      </c>
      <c r="HP4" t="str" cm="1">
        <f t="array" ref="HP4">_xlfn._xlws.SORT(_xlfn._xlws.FILTER(organicMaterials[org_materials_applic_lev],organicMaterials[experiment_ID]=HP3))</f>
        <v/>
      </c>
      <c r="HQ4" t="str" cm="1">
        <f t="array" ref="HQ4">_xlfn._xlws.SORT(_xlfn._xlws.FILTER(organicMaterials[org_materials_applic_lev],organicMaterials[experiment_ID]=HQ3))</f>
        <v/>
      </c>
      <c r="HR4" t="str" cm="1">
        <f t="array" ref="HR4">_xlfn._xlws.SORT(_xlfn._xlws.FILTER(organicMaterials[org_materials_applic_lev],organicMaterials[experiment_ID]=HR3))</f>
        <v/>
      </c>
      <c r="HS4" t="str" cm="1">
        <f t="array" ref="HS4">_xlfn._xlws.SORT(_xlfn._xlws.FILTER(organicMaterials[org_materials_applic_lev],organicMaterials[experiment_ID]=HS3))</f>
        <v/>
      </c>
      <c r="HT4" t="str" cm="1">
        <f t="array" ref="HT4">_xlfn._xlws.SORT(_xlfn._xlws.FILTER(organicMaterials[org_materials_applic_lev],organicMaterials[experiment_ID]=HT3))</f>
        <v/>
      </c>
      <c r="HU4" t="str" cm="1">
        <f t="array" ref="HU4">_xlfn._xlws.SORT(_xlfn._xlws.FILTER(organicMaterials[org_materials_applic_lev],organicMaterials[experiment_ID]=HU3))</f>
        <v/>
      </c>
      <c r="HV4" t="str" cm="1">
        <f t="array" ref="HV4">_xlfn._xlws.SORT(_xlfn._xlws.FILTER(organicMaterials[org_materials_applic_lev],organicMaterials[experiment_ID]=HV3))</f>
        <v/>
      </c>
      <c r="HW4" t="str" cm="1">
        <f t="array" ref="HW4">_xlfn._xlws.SORT(_xlfn._xlws.FILTER(organicMaterials[org_materials_applic_lev],organicMaterials[experiment_ID]=HW3))</f>
        <v/>
      </c>
      <c r="HX4" t="str" cm="1">
        <f t="array" ref="HX4">_xlfn._xlws.SORT(_xlfn._xlws.FILTER(organicMaterials[org_materials_applic_lev],organicMaterials[experiment_ID]=HX3))</f>
        <v/>
      </c>
      <c r="HZ4" t="str" cm="1">
        <f t="array" ref="HZ4:HZ5">_xlfn._xlws.SORT(_xlfn._xlws.FILTER(fertilizers[fertilizer_level]&amp;" | "&amp;fertilizers[fertilizer_level_name],fertilizers[experiment_ID]=HZ3))</f>
        <v>1 | Medium nitrogen + sulfur</v>
      </c>
      <c r="IA4" t="str" cm="1">
        <f t="array" ref="IA4">_xlfn._xlws.SORT(_xlfn._xlws.FILTER(fertilizers[fertilizer_level]&amp;" | "&amp;fertilizers[fertilizer_level_name],fertilizers[experiment_ID]=IA3))</f>
        <v>1 | No mineral deficiency (no detail)</v>
      </c>
      <c r="IB4" t="str" cm="1">
        <f t="array" ref="IB4">_xlfn._xlws.SORT(_xlfn._xlws.FILTER(fertilizers[fertilizer_level]&amp;" | "&amp;fertilizers[fertilizer_level_name],fertilizers[experiment_ID]=IB3))</f>
        <v xml:space="preserve"> | </v>
      </c>
      <c r="IC4" t="str" cm="1">
        <f t="array" ref="IC4">_xlfn._xlws.SORT(_xlfn._xlws.FILTER(fertilizers[fertilizer_level]&amp;" | "&amp;fertilizers[fertilizer_level_name],fertilizers[experiment_ID]=IC3))</f>
        <v xml:space="preserve"> | </v>
      </c>
      <c r="ID4" t="str" cm="1">
        <f t="array" ref="ID4">_xlfn._xlws.SORT(_xlfn._xlws.FILTER(fertilizers[fertilizer_level]&amp;" | "&amp;fertilizers[fertilizer_level_name],fertilizers[experiment_ID]=ID3))</f>
        <v xml:space="preserve"> | </v>
      </c>
      <c r="IE4" t="str" cm="1">
        <f t="array" ref="IE4">_xlfn._xlws.SORT(_xlfn._xlws.FILTER(fertilizers[fertilizer_level]&amp;" | "&amp;fertilizers[fertilizer_level_name],fertilizers[experiment_ID]=IE3))</f>
        <v xml:space="preserve"> | </v>
      </c>
      <c r="IF4" t="str" cm="1">
        <f t="array" ref="IF4">_xlfn._xlws.SORT(_xlfn._xlws.FILTER(fertilizers[fertilizer_level]&amp;" | "&amp;fertilizers[fertilizer_level_name],fertilizers[experiment_ID]=IF3))</f>
        <v xml:space="preserve"> | </v>
      </c>
      <c r="IG4" t="str" cm="1">
        <f t="array" ref="IG4">_xlfn._xlws.SORT(_xlfn._xlws.FILTER(fertilizers[fertilizer_level]&amp;" | "&amp;fertilizers[fertilizer_level_name],fertilizers[experiment_ID]=IG3))</f>
        <v xml:space="preserve"> | </v>
      </c>
      <c r="IH4" t="str" cm="1">
        <f t="array" ref="IH4">_xlfn._xlws.SORT(_xlfn._xlws.FILTER(fertilizers[fertilizer_level]&amp;" | "&amp;fertilizers[fertilizer_level_name],fertilizers[experiment_ID]=IH3))</f>
        <v xml:space="preserve"> | </v>
      </c>
      <c r="II4" t="str" cm="1">
        <f t="array" ref="II4">_xlfn._xlws.SORT(_xlfn._xlws.FILTER(fertilizers[fertilizer_level]&amp;" | "&amp;fertilizers[fertilizer_level_name],fertilizers[experiment_ID]=II3))</f>
        <v xml:space="preserve"> | </v>
      </c>
      <c r="IJ4" t="str" cm="1">
        <f t="array" ref="IJ4">_xlfn._xlws.SORT(_xlfn._xlws.FILTER(fertilizers[fertilizer_level]&amp;" | "&amp;fertilizers[fertilizer_level_name],fertilizers[experiment_ID]=IJ3))</f>
        <v xml:space="preserve"> | </v>
      </c>
      <c r="IK4" t="str" cm="1">
        <f t="array" ref="IK4">_xlfn._xlws.SORT(_xlfn._xlws.FILTER(fertilizers[fertilizer_level]&amp;" | "&amp;fertilizers[fertilizer_level_name],fertilizers[experiment_ID]=IK3))</f>
        <v xml:space="preserve"> | </v>
      </c>
      <c r="IL4" t="str" cm="1">
        <f t="array" ref="IL4">_xlfn._xlws.SORT(_xlfn._xlws.FILTER(fertilizers[fertilizer_level]&amp;" | "&amp;fertilizers[fertilizer_level_name],fertilizers[experiment_ID]=IL3))</f>
        <v xml:space="preserve"> | </v>
      </c>
      <c r="IM4" t="str" cm="1">
        <f t="array" ref="IM4">_xlfn._xlws.SORT(_xlfn._xlws.FILTER(fertilizers[fertilizer_level]&amp;" | "&amp;fertilizers[fertilizer_level_name],fertilizers[experiment_ID]=IM3))</f>
        <v xml:space="preserve"> | </v>
      </c>
      <c r="IN4" t="str" cm="1">
        <f t="array" ref="IN4">_xlfn._xlws.SORT(_xlfn._xlws.FILTER(fertilizers[fertilizer_level]&amp;" | "&amp;fertilizers[fertilizer_level_name],fertilizers[experiment_ID]=IN3))</f>
        <v xml:space="preserve"> | </v>
      </c>
      <c r="IO4" t="str" cm="1">
        <f t="array" ref="IO4">_xlfn._xlws.SORT(_xlfn._xlws.FILTER(fertilizers[fertilizer_level]&amp;" | "&amp;fertilizers[fertilizer_level_name],fertilizers[experiment_ID]=IO3))</f>
        <v xml:space="preserve"> | </v>
      </c>
      <c r="IP4" t="str" cm="1">
        <f t="array" ref="IP4">_xlfn._xlws.SORT(_xlfn._xlws.FILTER(fertilizers[fertilizer_level]&amp;" | "&amp;fertilizers[fertilizer_level_name],fertilizers[experiment_ID]=IP3))</f>
        <v xml:space="preserve"> | </v>
      </c>
      <c r="IQ4" t="str" cm="1">
        <f t="array" ref="IQ4">_xlfn._xlws.SORT(_xlfn._xlws.FILTER(fertilizers[fertilizer_level]&amp;" | "&amp;fertilizers[fertilizer_level_name],fertilizers[experiment_ID]=IQ3))</f>
        <v xml:space="preserve"> | </v>
      </c>
      <c r="IR4" t="str" cm="1">
        <f t="array" ref="IR4">_xlfn._xlws.SORT(_xlfn._xlws.FILTER(fertilizers[fertilizer_level]&amp;" | "&amp;fertilizers[fertilizer_level_name],fertilizers[experiment_ID]=IR3))</f>
        <v xml:space="preserve"> | </v>
      </c>
      <c r="IS4" t="str" cm="1">
        <f t="array" ref="IS4">_xlfn._xlws.SORT(_xlfn._xlws.FILTER(fertilizers[fertilizer_level]&amp;" | "&amp;fertilizers[fertilizer_level_name],fertilizers[experiment_ID]=IS3))</f>
        <v xml:space="preserve"> | </v>
      </c>
      <c r="IT4" cm="1">
        <f t="array" ref="IT4:IT5">_xlfn._xlws.SORT(_xlfn._xlws.FILTER(fertilizers[fertilizer_level],fertilizers[experiment_ID]=IT3))</f>
        <v>1</v>
      </c>
      <c r="IU4" cm="1">
        <f t="array" ref="IU4">_xlfn._xlws.SORT(_xlfn._xlws.FILTER(fertilizers[fertilizer_level],fertilizers[experiment_ID]=IU3))</f>
        <v>1</v>
      </c>
      <c r="IV4" t="str" cm="1">
        <f t="array" ref="IV4">_xlfn._xlws.SORT(_xlfn._xlws.FILTER(fertilizers[fertilizer_level],fertilizers[experiment_ID]=IV3))</f>
        <v/>
      </c>
      <c r="IW4" t="str" cm="1">
        <f t="array" ref="IW4">_xlfn._xlws.SORT(_xlfn._xlws.FILTER(fertilizers[fertilizer_level],fertilizers[experiment_ID]=IW3))</f>
        <v/>
      </c>
      <c r="IX4" t="str" cm="1">
        <f t="array" ref="IX4">_xlfn._xlws.SORT(_xlfn._xlws.FILTER(fertilizers[fertilizer_level],fertilizers[experiment_ID]=IX3))</f>
        <v/>
      </c>
      <c r="IY4" t="str" cm="1">
        <f t="array" ref="IY4">_xlfn._xlws.SORT(_xlfn._xlws.FILTER(fertilizers[fertilizer_level],fertilizers[experiment_ID]=IY3))</f>
        <v/>
      </c>
      <c r="IZ4" t="str" cm="1">
        <f t="array" ref="IZ4">_xlfn._xlws.SORT(_xlfn._xlws.FILTER(fertilizers[fertilizer_level],fertilizers[experiment_ID]=IZ3))</f>
        <v/>
      </c>
      <c r="JA4" t="str" cm="1">
        <f t="array" ref="JA4">_xlfn._xlws.SORT(_xlfn._xlws.FILTER(fertilizers[fertilizer_level],fertilizers[experiment_ID]=JA3))</f>
        <v/>
      </c>
      <c r="JB4" t="str" cm="1">
        <f t="array" ref="JB4">_xlfn._xlws.SORT(_xlfn._xlws.FILTER(fertilizers[fertilizer_level],fertilizers[experiment_ID]=JB3))</f>
        <v/>
      </c>
      <c r="JC4" t="str" cm="1">
        <f t="array" ref="JC4">_xlfn._xlws.SORT(_xlfn._xlws.FILTER(fertilizers[fertilizer_level],fertilizers[experiment_ID]=JC3))</f>
        <v/>
      </c>
      <c r="JD4" t="str" cm="1">
        <f t="array" ref="JD4">_xlfn._xlws.SORT(_xlfn._xlws.FILTER(fertilizers[fertilizer_level],fertilizers[experiment_ID]=JD3))</f>
        <v/>
      </c>
      <c r="JE4" t="str" cm="1">
        <f t="array" ref="JE4">_xlfn._xlws.SORT(_xlfn._xlws.FILTER(fertilizers[fertilizer_level],fertilizers[experiment_ID]=JE3))</f>
        <v/>
      </c>
      <c r="JF4" t="str" cm="1">
        <f t="array" ref="JF4">_xlfn._xlws.SORT(_xlfn._xlws.FILTER(fertilizers[fertilizer_level],fertilizers[experiment_ID]=JF3))</f>
        <v/>
      </c>
      <c r="JG4" t="str" cm="1">
        <f t="array" ref="JG4">_xlfn._xlws.SORT(_xlfn._xlws.FILTER(fertilizers[fertilizer_level],fertilizers[experiment_ID]=JG3))</f>
        <v/>
      </c>
      <c r="JH4" t="str" cm="1">
        <f t="array" ref="JH4">_xlfn._xlws.SORT(_xlfn._xlws.FILTER(fertilizers[fertilizer_level],fertilizers[experiment_ID]=JH3))</f>
        <v/>
      </c>
      <c r="JI4" t="str" cm="1">
        <f t="array" ref="JI4">_xlfn._xlws.SORT(_xlfn._xlws.FILTER(fertilizers[fertilizer_level],fertilizers[experiment_ID]=JI3))</f>
        <v/>
      </c>
      <c r="JJ4" t="str" cm="1">
        <f t="array" ref="JJ4">_xlfn._xlws.SORT(_xlfn._xlws.FILTER(fertilizers[fertilizer_level],fertilizers[experiment_ID]=JJ3))</f>
        <v/>
      </c>
      <c r="JK4" t="str" cm="1">
        <f t="array" ref="JK4">_xlfn._xlws.SORT(_xlfn._xlws.FILTER(fertilizers[fertilizer_level],fertilizers[experiment_ID]=JK3))</f>
        <v/>
      </c>
      <c r="JL4" t="str" cm="1">
        <f t="array" ref="JL4">_xlfn._xlws.SORT(_xlfn._xlws.FILTER(fertilizers[fertilizer_level],fertilizers[experiment_ID]=JL3))</f>
        <v/>
      </c>
      <c r="JM4" t="str" cm="1">
        <f t="array" ref="JM4">_xlfn._xlws.SORT(_xlfn._xlws.FILTER(fertilizers[fertilizer_level],fertilizers[experiment_ID]=JM3))</f>
        <v/>
      </c>
      <c r="JO4" t="str" cm="1">
        <f t="array" ref="JO4:JO5">_xlfn._xlws.SORT(_xlfn._xlws.FILTER(chemicals[chemical_applic_level]&amp;" | "&amp;chemicals[chemical_applic_name],chemicals[experiment_ID]=JO3))</f>
        <v>1 | Winter wheat</v>
      </c>
      <c r="JP4" t="str" cm="1">
        <f t="array" ref="JP4">_xlfn._xlws.SORT(_xlfn._xlws.FILTER(chemicals[chemical_applic_level]&amp;" | "&amp;chemicals[chemical_applic_name],chemicals[experiment_ID]=JP3))</f>
        <v>1 | No disease (no detail)</v>
      </c>
      <c r="JQ4" t="str" cm="1">
        <f t="array" ref="JQ4">_xlfn._xlws.SORT(_xlfn._xlws.FILTER(chemicals[chemical_applic_level]&amp;" | "&amp;chemicals[chemical_applic_name],chemicals[experiment_ID]=JQ3))</f>
        <v xml:space="preserve"> | </v>
      </c>
      <c r="JR4" t="str" cm="1">
        <f t="array" ref="JR4">_xlfn._xlws.SORT(_xlfn._xlws.FILTER(chemicals[chemical_applic_level]&amp;" | "&amp;chemicals[chemical_applic_name],chemicals[experiment_ID]=JR3))</f>
        <v xml:space="preserve"> | </v>
      </c>
      <c r="JS4" t="str" cm="1">
        <f t="array" ref="JS4">_xlfn._xlws.SORT(_xlfn._xlws.FILTER(chemicals[chemical_applic_level]&amp;" | "&amp;chemicals[chemical_applic_name],chemicals[experiment_ID]=JS3))</f>
        <v xml:space="preserve"> | </v>
      </c>
      <c r="JT4" t="str" cm="1">
        <f t="array" ref="JT4">_xlfn._xlws.SORT(_xlfn._xlws.FILTER(chemicals[chemical_applic_level]&amp;" | "&amp;chemicals[chemical_applic_name],chemicals[experiment_ID]=JT3))</f>
        <v xml:space="preserve"> | </v>
      </c>
      <c r="JU4" t="str" cm="1">
        <f t="array" ref="JU4">_xlfn._xlws.SORT(_xlfn._xlws.FILTER(chemicals[chemical_applic_level]&amp;" | "&amp;chemicals[chemical_applic_name],chemicals[experiment_ID]=JU3))</f>
        <v xml:space="preserve"> | </v>
      </c>
      <c r="JV4" t="str" cm="1">
        <f t="array" ref="JV4">_xlfn._xlws.SORT(_xlfn._xlws.FILTER(chemicals[chemical_applic_level]&amp;" | "&amp;chemicals[chemical_applic_name],chemicals[experiment_ID]=JV3))</f>
        <v xml:space="preserve"> | </v>
      </c>
      <c r="JW4" t="str" cm="1">
        <f t="array" ref="JW4">_xlfn._xlws.SORT(_xlfn._xlws.FILTER(chemicals[chemical_applic_level]&amp;" | "&amp;chemicals[chemical_applic_name],chemicals[experiment_ID]=JW3))</f>
        <v xml:space="preserve"> | </v>
      </c>
      <c r="JX4" t="str" cm="1">
        <f t="array" ref="JX4">_xlfn._xlws.SORT(_xlfn._xlws.FILTER(chemicals[chemical_applic_level]&amp;" | "&amp;chemicals[chemical_applic_name],chemicals[experiment_ID]=JX3))</f>
        <v xml:space="preserve"> | </v>
      </c>
      <c r="JY4" t="str" cm="1">
        <f t="array" ref="JY4">_xlfn._xlws.SORT(_xlfn._xlws.FILTER(chemicals[chemical_applic_level]&amp;" | "&amp;chemicals[chemical_applic_name],chemicals[experiment_ID]=JY3))</f>
        <v xml:space="preserve"> | </v>
      </c>
      <c r="JZ4" t="str" cm="1">
        <f t="array" ref="JZ4">_xlfn._xlws.SORT(_xlfn._xlws.FILTER(chemicals[chemical_applic_level]&amp;" | "&amp;chemicals[chemical_applic_name],chemicals[experiment_ID]=JZ3))</f>
        <v xml:space="preserve"> | </v>
      </c>
      <c r="KA4" t="str" cm="1">
        <f t="array" ref="KA4">_xlfn._xlws.SORT(_xlfn._xlws.FILTER(chemicals[chemical_applic_level]&amp;" | "&amp;chemicals[chemical_applic_name],chemicals[experiment_ID]=KA3))</f>
        <v xml:space="preserve"> | </v>
      </c>
      <c r="KB4" t="str" cm="1">
        <f t="array" ref="KB4">_xlfn._xlws.SORT(_xlfn._xlws.FILTER(chemicals[chemical_applic_level]&amp;" | "&amp;chemicals[chemical_applic_name],chemicals[experiment_ID]=KB3))</f>
        <v xml:space="preserve"> | </v>
      </c>
      <c r="KC4" t="str" cm="1">
        <f t="array" ref="KC4">_xlfn._xlws.SORT(_xlfn._xlws.FILTER(chemicals[chemical_applic_level]&amp;" | "&amp;chemicals[chemical_applic_name],chemicals[experiment_ID]=KC3))</f>
        <v xml:space="preserve"> | </v>
      </c>
      <c r="KD4" t="str" cm="1">
        <f t="array" ref="KD4">_xlfn._xlws.SORT(_xlfn._xlws.FILTER(chemicals[chemical_applic_level]&amp;" | "&amp;chemicals[chemical_applic_name],chemicals[experiment_ID]=KD3))</f>
        <v xml:space="preserve"> | </v>
      </c>
      <c r="KE4" t="str" cm="1">
        <f t="array" ref="KE4">_xlfn._xlws.SORT(_xlfn._xlws.FILTER(chemicals[chemical_applic_level]&amp;" | "&amp;chemicals[chemical_applic_name],chemicals[experiment_ID]=KE3))</f>
        <v xml:space="preserve"> | </v>
      </c>
      <c r="KF4" t="str" cm="1">
        <f t="array" ref="KF4">_xlfn._xlws.SORT(_xlfn._xlws.FILTER(chemicals[chemical_applic_level]&amp;" | "&amp;chemicals[chemical_applic_name],chemicals[experiment_ID]=KF3))</f>
        <v xml:space="preserve"> | </v>
      </c>
      <c r="KG4" t="str" cm="1">
        <f t="array" ref="KG4">_xlfn._xlws.SORT(_xlfn._xlws.FILTER(chemicals[chemical_applic_level]&amp;" | "&amp;chemicals[chemical_applic_name],chemicals[experiment_ID]=KG3))</f>
        <v xml:space="preserve"> | </v>
      </c>
      <c r="KH4" t="str" cm="1">
        <f t="array" ref="KH4">_xlfn._xlws.SORT(_xlfn._xlws.FILTER(chemicals[chemical_applic_level]&amp;" | "&amp;chemicals[chemical_applic_name],chemicals[experiment_ID]=KH3))</f>
        <v xml:space="preserve"> | </v>
      </c>
      <c r="KI4" cm="1">
        <f t="array" ref="KI4:KI5">_xlfn._xlws.SORT(_xlfn._xlws.FILTER(chemicals[chemical_applic_level],chemicals[experiment_ID]=KI3))</f>
        <v>1</v>
      </c>
      <c r="KJ4" cm="1">
        <f t="array" ref="KJ4">_xlfn._xlws.SORT(_xlfn._xlws.FILTER(chemicals[chemical_applic_level],chemicals[experiment_ID]=KJ3))</f>
        <v>1</v>
      </c>
      <c r="KK4" t="str" cm="1">
        <f t="array" ref="KK4">_xlfn._xlws.SORT(_xlfn._xlws.FILTER(chemicals[chemical_applic_level],chemicals[experiment_ID]=KK3))</f>
        <v/>
      </c>
      <c r="KL4" t="str" cm="1">
        <f t="array" ref="KL4">_xlfn._xlws.SORT(_xlfn._xlws.FILTER(chemicals[chemical_applic_level],chemicals[experiment_ID]=KL3))</f>
        <v/>
      </c>
      <c r="KM4" t="str" cm="1">
        <f t="array" ref="KM4">_xlfn._xlws.SORT(_xlfn._xlws.FILTER(chemicals[chemical_applic_level],chemicals[experiment_ID]=KM3))</f>
        <v/>
      </c>
      <c r="KN4" t="str" cm="1">
        <f t="array" ref="KN4">_xlfn._xlws.SORT(_xlfn._xlws.FILTER(chemicals[chemical_applic_level],chemicals[experiment_ID]=KN3))</f>
        <v/>
      </c>
      <c r="KO4" t="str" cm="1">
        <f t="array" ref="KO4">_xlfn._xlws.SORT(_xlfn._xlws.FILTER(chemicals[chemical_applic_level],chemicals[experiment_ID]=KO3))</f>
        <v/>
      </c>
      <c r="KP4" t="str" cm="1">
        <f t="array" ref="KP4">_xlfn._xlws.SORT(_xlfn._xlws.FILTER(chemicals[chemical_applic_level],chemicals[experiment_ID]=KP3))</f>
        <v/>
      </c>
      <c r="KQ4" t="str" cm="1">
        <f t="array" ref="KQ4">_xlfn._xlws.SORT(_xlfn._xlws.FILTER(chemicals[chemical_applic_level],chemicals[experiment_ID]=KQ3))</f>
        <v/>
      </c>
      <c r="KR4" t="str" cm="1">
        <f t="array" ref="KR4">_xlfn._xlws.SORT(_xlfn._xlws.FILTER(chemicals[chemical_applic_level],chemicals[experiment_ID]=KR3))</f>
        <v/>
      </c>
      <c r="KS4" t="str" cm="1">
        <f t="array" ref="KS4">_xlfn._xlws.SORT(_xlfn._xlws.FILTER(chemicals[chemical_applic_level],chemicals[experiment_ID]=KS3))</f>
        <v/>
      </c>
      <c r="KT4" t="str" cm="1">
        <f t="array" ref="KT4">_xlfn._xlws.SORT(_xlfn._xlws.FILTER(chemicals[chemical_applic_level],chemicals[experiment_ID]=KT3))</f>
        <v/>
      </c>
      <c r="KU4" t="str" cm="1">
        <f t="array" ref="KU4">_xlfn._xlws.SORT(_xlfn._xlws.FILTER(chemicals[chemical_applic_level],chemicals[experiment_ID]=KU3))</f>
        <v/>
      </c>
      <c r="KV4" t="str" cm="1">
        <f t="array" ref="KV4">_xlfn._xlws.SORT(_xlfn._xlws.FILTER(chemicals[chemical_applic_level],chemicals[experiment_ID]=KV3))</f>
        <v/>
      </c>
      <c r="KW4" t="str" cm="1">
        <f t="array" ref="KW4">_xlfn._xlws.SORT(_xlfn._xlws.FILTER(chemicals[chemical_applic_level],chemicals[experiment_ID]=KW3))</f>
        <v/>
      </c>
      <c r="KX4" t="str" cm="1">
        <f t="array" ref="KX4">_xlfn._xlws.SORT(_xlfn._xlws.FILTER(chemicals[chemical_applic_level],chemicals[experiment_ID]=KX3))</f>
        <v/>
      </c>
      <c r="KY4" t="str" cm="1">
        <f t="array" ref="KY4">_xlfn._xlws.SORT(_xlfn._xlws.FILTER(chemicals[chemical_applic_level],chemicals[experiment_ID]=KY3))</f>
        <v/>
      </c>
      <c r="KZ4" t="str" cm="1">
        <f t="array" ref="KZ4">_xlfn._xlws.SORT(_xlfn._xlws.FILTER(chemicals[chemical_applic_level],chemicals[experiment_ID]=KZ3))</f>
        <v/>
      </c>
      <c r="LA4" t="str" cm="1">
        <f t="array" ref="LA4">_xlfn._xlws.SORT(_xlfn._xlws.FILTER(chemicals[chemical_applic_level],chemicals[experiment_ID]=LA3))</f>
        <v/>
      </c>
      <c r="LB4" t="str" cm="1">
        <f t="array" ref="LB4">_xlfn._xlws.SORT(_xlfn._xlws.FILTER(chemicals[chemical_applic_level],chemicals[experiment_ID]=LB3))</f>
        <v/>
      </c>
      <c r="LD4" t="str" cm="1">
        <f t="array" ref="LD4">_xlfn._xlws.SORT(_xlfn._xlws.FILTER(harvest[harvest_operations_level]&amp;" | "&amp;harvest[harvest_ops_level_name],harvest[experiment_ID]=LD3))</f>
        <v>1 | Grain harvest</v>
      </c>
      <c r="LE4" t="str" cm="1">
        <f t="array" ref="LE4">_xlfn._xlws.SORT(_xlfn._xlws.FILTER(harvest[harvest_operations_level]&amp;" | "&amp;harvest[harvest_ops_level_name],harvest[experiment_ID]=LE3))</f>
        <v>1 | Main harvest</v>
      </c>
      <c r="LF4" t="str" cm="1">
        <f t="array" ref="LF4">_xlfn._xlws.SORT(_xlfn._xlws.FILTER(harvest[harvest_operations_level]&amp;" | "&amp;harvest[harvest_ops_level_name],harvest[experiment_ID]=LF3))</f>
        <v xml:space="preserve"> | </v>
      </c>
      <c r="LG4" t="str" cm="1">
        <f t="array" ref="LG4">_xlfn._xlws.SORT(_xlfn._xlws.FILTER(harvest[harvest_operations_level]&amp;" | "&amp;harvest[harvest_ops_level_name],harvest[experiment_ID]=LG3))</f>
        <v xml:space="preserve"> | </v>
      </c>
      <c r="LH4" t="str" cm="1">
        <f t="array" ref="LH4">_xlfn._xlws.SORT(_xlfn._xlws.FILTER(harvest[harvest_operations_level]&amp;" | "&amp;harvest[harvest_ops_level_name],harvest[experiment_ID]=LH3))</f>
        <v xml:space="preserve"> | </v>
      </c>
      <c r="LI4" t="str" cm="1">
        <f t="array" ref="LI4">_xlfn._xlws.SORT(_xlfn._xlws.FILTER(harvest[harvest_operations_level]&amp;" | "&amp;harvest[harvest_ops_level_name],harvest[experiment_ID]=LI3))</f>
        <v xml:space="preserve"> | </v>
      </c>
      <c r="LJ4" t="str" cm="1">
        <f t="array" ref="LJ4">_xlfn._xlws.SORT(_xlfn._xlws.FILTER(harvest[harvest_operations_level]&amp;" | "&amp;harvest[harvest_ops_level_name],harvest[experiment_ID]=LJ3))</f>
        <v xml:space="preserve"> | </v>
      </c>
      <c r="LK4" t="str" cm="1">
        <f t="array" ref="LK4">_xlfn._xlws.SORT(_xlfn._xlws.FILTER(harvest[harvest_operations_level]&amp;" | "&amp;harvest[harvest_ops_level_name],harvest[experiment_ID]=LK3))</f>
        <v xml:space="preserve"> | </v>
      </c>
      <c r="LL4" t="str" cm="1">
        <f t="array" ref="LL4">_xlfn._xlws.SORT(_xlfn._xlws.FILTER(harvest[harvest_operations_level]&amp;" | "&amp;harvest[harvest_ops_level_name],harvest[experiment_ID]=LL3))</f>
        <v xml:space="preserve"> | </v>
      </c>
      <c r="LM4" t="str" cm="1">
        <f t="array" ref="LM4">_xlfn._xlws.SORT(_xlfn._xlws.FILTER(harvest[harvest_operations_level]&amp;" | "&amp;harvest[harvest_ops_level_name],harvest[experiment_ID]=LM3))</f>
        <v xml:space="preserve"> | </v>
      </c>
      <c r="LN4" t="str" cm="1">
        <f t="array" ref="LN4">_xlfn._xlws.SORT(_xlfn._xlws.FILTER(harvest[harvest_operations_level]&amp;" | "&amp;harvest[harvest_ops_level_name],harvest[experiment_ID]=LN3))</f>
        <v xml:space="preserve"> | </v>
      </c>
      <c r="LO4" t="str" cm="1">
        <f t="array" ref="LO4">_xlfn._xlws.SORT(_xlfn._xlws.FILTER(harvest[harvest_operations_level]&amp;" | "&amp;harvest[harvest_ops_level_name],harvest[experiment_ID]=LO3))</f>
        <v xml:space="preserve"> | </v>
      </c>
      <c r="LP4" t="str" cm="1">
        <f t="array" ref="LP4">_xlfn._xlws.SORT(_xlfn._xlws.FILTER(harvest[harvest_operations_level]&amp;" | "&amp;harvest[harvest_ops_level_name],harvest[experiment_ID]=LP3))</f>
        <v xml:space="preserve"> | </v>
      </c>
      <c r="LQ4" t="str" cm="1">
        <f t="array" ref="LQ4">_xlfn._xlws.SORT(_xlfn._xlws.FILTER(harvest[harvest_operations_level]&amp;" | "&amp;harvest[harvest_ops_level_name],harvest[experiment_ID]=LQ3))</f>
        <v xml:space="preserve"> | </v>
      </c>
      <c r="LR4" t="str" cm="1">
        <f t="array" ref="LR4">_xlfn._xlws.SORT(_xlfn._xlws.FILTER(harvest[harvest_operations_level]&amp;" | "&amp;harvest[harvest_ops_level_name],harvest[experiment_ID]=LR3))</f>
        <v xml:space="preserve"> | </v>
      </c>
      <c r="LS4" t="str" cm="1">
        <f t="array" ref="LS4">_xlfn._xlws.SORT(_xlfn._xlws.FILTER(harvest[harvest_operations_level]&amp;" | "&amp;harvest[harvest_ops_level_name],harvest[experiment_ID]=LS3))</f>
        <v xml:space="preserve"> | </v>
      </c>
      <c r="LT4" t="str" cm="1">
        <f t="array" ref="LT4">_xlfn._xlws.SORT(_xlfn._xlws.FILTER(harvest[harvest_operations_level]&amp;" | "&amp;harvest[harvest_ops_level_name],harvest[experiment_ID]=LT3))</f>
        <v xml:space="preserve"> | </v>
      </c>
      <c r="LU4" t="str" cm="1">
        <f t="array" ref="LU4">_xlfn._xlws.SORT(_xlfn._xlws.FILTER(harvest[harvest_operations_level]&amp;" | "&amp;harvest[harvest_ops_level_name],harvest[experiment_ID]=LU3))</f>
        <v xml:space="preserve"> | </v>
      </c>
      <c r="LV4" t="str" cm="1">
        <f t="array" ref="LV4">_xlfn._xlws.SORT(_xlfn._xlws.FILTER(harvest[harvest_operations_level]&amp;" | "&amp;harvest[harvest_ops_level_name],harvest[experiment_ID]=LV3))</f>
        <v xml:space="preserve"> | </v>
      </c>
      <c r="LW4" t="str" cm="1">
        <f t="array" ref="LW4">_xlfn._xlws.SORT(_xlfn._xlws.FILTER(harvest[harvest_operations_level]&amp;" | "&amp;harvest[harvest_ops_level_name],harvest[experiment_ID]=LW3))</f>
        <v xml:space="preserve"> | </v>
      </c>
      <c r="LX4" cm="1">
        <f t="array" ref="LX4">_xlfn._xlws.SORT(_xlfn._xlws.FILTER(harvest[harvest_operations_level],harvest[experiment_ID]=LX3))</f>
        <v>1</v>
      </c>
      <c r="LY4" cm="1">
        <f t="array" ref="LY4">_xlfn._xlws.SORT(_xlfn._xlws.FILTER(harvest[harvest_operations_level],harvest[experiment_ID]=LY3))</f>
        <v>1</v>
      </c>
      <c r="LZ4" t="str" cm="1">
        <f t="array" ref="LZ4">_xlfn._xlws.SORT(_xlfn._xlws.FILTER(harvest[harvest_operations_level],harvest[experiment_ID]=LZ3))</f>
        <v/>
      </c>
      <c r="MA4" t="str" cm="1">
        <f t="array" ref="MA4">_xlfn._xlws.SORT(_xlfn._xlws.FILTER(harvest[harvest_operations_level],harvest[experiment_ID]=MA3))</f>
        <v/>
      </c>
      <c r="MB4" t="str" cm="1">
        <f t="array" ref="MB4">_xlfn._xlws.SORT(_xlfn._xlws.FILTER(harvest[harvest_operations_level],harvest[experiment_ID]=MB3))</f>
        <v/>
      </c>
      <c r="MC4" t="str" cm="1">
        <f t="array" ref="MC4">_xlfn._xlws.SORT(_xlfn._xlws.FILTER(harvest[harvest_operations_level],harvest[experiment_ID]=MC3))</f>
        <v/>
      </c>
      <c r="MD4" t="str" cm="1">
        <f t="array" ref="MD4">_xlfn._xlws.SORT(_xlfn._xlws.FILTER(harvest[harvest_operations_level],harvest[experiment_ID]=MD3))</f>
        <v/>
      </c>
      <c r="ME4" t="str" cm="1">
        <f t="array" ref="ME4">_xlfn._xlws.SORT(_xlfn._xlws.FILTER(harvest[harvest_operations_level],harvest[experiment_ID]=ME3))</f>
        <v/>
      </c>
      <c r="MF4" t="str" cm="1">
        <f t="array" ref="MF4">_xlfn._xlws.SORT(_xlfn._xlws.FILTER(harvest[harvest_operations_level],harvest[experiment_ID]=MF3))</f>
        <v/>
      </c>
      <c r="MG4" t="str" cm="1">
        <f t="array" ref="MG4">_xlfn._xlws.SORT(_xlfn._xlws.FILTER(harvest[harvest_operations_level],harvest[experiment_ID]=MG3))</f>
        <v/>
      </c>
      <c r="MH4" t="str" cm="1">
        <f t="array" ref="MH4">_xlfn._xlws.SORT(_xlfn._xlws.FILTER(harvest[harvest_operations_level],harvest[experiment_ID]=MH3))</f>
        <v/>
      </c>
      <c r="MI4" t="str" cm="1">
        <f t="array" ref="MI4">_xlfn._xlws.SORT(_xlfn._xlws.FILTER(harvest[harvest_operations_level],harvest[experiment_ID]=MI3))</f>
        <v/>
      </c>
      <c r="MJ4" t="str" cm="1">
        <f t="array" ref="MJ4">_xlfn._xlws.SORT(_xlfn._xlws.FILTER(harvest[harvest_operations_level],harvest[experiment_ID]=MJ3))</f>
        <v/>
      </c>
      <c r="MK4" t="str" cm="1">
        <f t="array" ref="MK4">_xlfn._xlws.SORT(_xlfn._xlws.FILTER(harvest[harvest_operations_level],harvest[experiment_ID]=MK3))</f>
        <v/>
      </c>
      <c r="ML4" t="str" cm="1">
        <f t="array" ref="ML4">_xlfn._xlws.SORT(_xlfn._xlws.FILTER(harvest[harvest_operations_level],harvest[experiment_ID]=ML3))</f>
        <v/>
      </c>
      <c r="MM4" t="str" cm="1">
        <f t="array" ref="MM4">_xlfn._xlws.SORT(_xlfn._xlws.FILTER(harvest[harvest_operations_level],harvest[experiment_ID]=MM3))</f>
        <v/>
      </c>
      <c r="MN4" t="str" cm="1">
        <f t="array" ref="MN4">_xlfn._xlws.SORT(_xlfn._xlws.FILTER(harvest[harvest_operations_level],harvest[experiment_ID]=MN3))</f>
        <v/>
      </c>
      <c r="MO4" t="str" cm="1">
        <f t="array" ref="MO4">_xlfn._xlws.SORT(_xlfn._xlws.FILTER(harvest[harvest_operations_level],harvest[experiment_ID]=MO3))</f>
        <v/>
      </c>
      <c r="MP4" t="str" cm="1">
        <f t="array" ref="MP4">_xlfn._xlws.SORT(_xlfn._xlws.FILTER(harvest[harvest_operations_level],harvest[experiment_ID]=MP3))</f>
        <v/>
      </c>
      <c r="MQ4" t="str" cm="1">
        <f t="array" ref="MQ4">_xlfn._xlws.SORT(_xlfn._xlws.FILTER(harvest[harvest_operations_level],harvest[experiment_ID]=MQ3))</f>
        <v/>
      </c>
      <c r="MS4" cm="1">
        <f t="array" ref="MS4:MS13">_xlfn._xlws.SORT(_xlfn._xlws.FILTER(plotDetails[plot_ID],plotDetails[experiment_ID]=MS3))</f>
        <v>2</v>
      </c>
      <c r="MT4" cm="1">
        <f t="array" ref="MT4:MT10">_xlfn._xlws.SORT(_xlfn._xlws.FILTER(plotDetails[plot_ID],plotDetails[experiment_ID]=MT3))</f>
        <v>1</v>
      </c>
      <c r="MU4" cm="1">
        <f t="array" ref="MU4">_xlfn._xlws.SORT(_xlfn._xlws.FILTER(plotDetails[plot_ID],plotDetails[experiment_ID]=MU3))</f>
        <v>0</v>
      </c>
      <c r="MV4" cm="1">
        <f t="array" ref="MV4">_xlfn._xlws.SORT(_xlfn._xlws.FILTER(plotDetails[plot_ID],plotDetails[experiment_ID]=MV3))</f>
        <v>0</v>
      </c>
      <c r="MW4" cm="1">
        <f t="array" ref="MW4">_xlfn._xlws.SORT(_xlfn._xlws.FILTER(plotDetails[plot_ID],plotDetails[experiment_ID]=MW3))</f>
        <v>0</v>
      </c>
      <c r="MX4" cm="1">
        <f t="array" ref="MX4">_xlfn._xlws.SORT(_xlfn._xlws.FILTER(plotDetails[plot_ID],plotDetails[experiment_ID]=MX3))</f>
        <v>0</v>
      </c>
      <c r="MY4" cm="1">
        <f t="array" ref="MY4">_xlfn._xlws.SORT(_xlfn._xlws.FILTER(plotDetails[plot_ID],plotDetails[experiment_ID]=MY3))</f>
        <v>0</v>
      </c>
      <c r="MZ4" cm="1">
        <f t="array" ref="MZ4">_xlfn._xlws.SORT(_xlfn._xlws.FILTER(plotDetails[plot_ID],plotDetails[experiment_ID]=MZ3))</f>
        <v>0</v>
      </c>
      <c r="NA4" cm="1">
        <f t="array" ref="NA4">_xlfn._xlws.SORT(_xlfn._xlws.FILTER(plotDetails[plot_ID],plotDetails[experiment_ID]=NA3))</f>
        <v>0</v>
      </c>
      <c r="NB4" cm="1">
        <f t="array" ref="NB4">_xlfn._xlws.SORT(_xlfn._xlws.FILTER(plotDetails[plot_ID],plotDetails[experiment_ID]=NB3))</f>
        <v>0</v>
      </c>
      <c r="NC4" cm="1">
        <f t="array" ref="NC4">_xlfn._xlws.SORT(_xlfn._xlws.FILTER(plotDetails[plot_ID],plotDetails[experiment_ID]=NC3))</f>
        <v>0</v>
      </c>
      <c r="ND4" cm="1">
        <f t="array" ref="ND4">_xlfn._xlws.SORT(_xlfn._xlws.FILTER(plotDetails[plot_ID],plotDetails[experiment_ID]=ND3))</f>
        <v>0</v>
      </c>
      <c r="NE4" cm="1">
        <f t="array" ref="NE4">_xlfn._xlws.SORT(_xlfn._xlws.FILTER(plotDetails[plot_ID],plotDetails[experiment_ID]=NE3))</f>
        <v>0</v>
      </c>
      <c r="NF4" cm="1">
        <f t="array" ref="NF4">_xlfn._xlws.SORT(_xlfn._xlws.FILTER(plotDetails[plot_ID],plotDetails[experiment_ID]=NF3))</f>
        <v>0</v>
      </c>
      <c r="NG4" cm="1">
        <f t="array" ref="NG4">_xlfn._xlws.SORT(_xlfn._xlws.FILTER(plotDetails[plot_ID],plotDetails[experiment_ID]=NG3))</f>
        <v>0</v>
      </c>
      <c r="NH4" cm="1">
        <f t="array" ref="NH4">_xlfn._xlws.SORT(_xlfn._xlws.FILTER(plotDetails[plot_ID],plotDetails[experiment_ID]=NH3))</f>
        <v>0</v>
      </c>
      <c r="NI4" cm="1">
        <f t="array" ref="NI4">_xlfn._xlws.SORT(_xlfn._xlws.FILTER(plotDetails[plot_ID],plotDetails[experiment_ID]=NI3))</f>
        <v>0</v>
      </c>
      <c r="NJ4" cm="1">
        <f t="array" ref="NJ4">_xlfn._xlws.SORT(_xlfn._xlws.FILTER(plotDetails[plot_ID],plotDetails[experiment_ID]=NJ3))</f>
        <v>0</v>
      </c>
      <c r="NK4" cm="1">
        <f t="array" ref="NK4">_xlfn._xlws.SORT(_xlfn._xlws.FILTER(plotDetails[plot_ID],plotDetails[experiment_ID]=NK3))</f>
        <v>0</v>
      </c>
      <c r="NL4" cm="1">
        <f t="array" ref="NL4">_xlfn._xlws.SORT(_xlfn._xlws.FILTER(plotDetails[plot_ID],plotDetails[experiment_ID]=NL3))</f>
        <v>0</v>
      </c>
      <c r="NM4" cm="1">
        <f t="array" ref="NM4">_xlfn._xlws.SORT(_xlfn._xlws.FILTER(plotDetails[plot_ID],plotDetails[experiment_ID]=NM3))</f>
        <v>0</v>
      </c>
      <c r="NO4" t="str" cm="1">
        <f t="array" ref="NO4:NO7">_xlfn._xlws.SORT(_xlfn._xlws.FILTER(treatments[treatment_number]&amp;" | "&amp;treatments[treatment_name],treatments[experiment_ID]=NO3))</f>
        <v>1 | Campesino - 92 kg[N]/ha</v>
      </c>
      <c r="NP4" t="str" cm="1">
        <f t="array" ref="NP4:NP10">_xlfn._xlws.SORT(_xlfn._xlws.FILTER(treatments[treatment_number]&amp;" | "&amp;treatments[treatment_name],treatments[experiment_ID]=NP3))</f>
        <v>1 | Winter wheat - 5 plants/m2</v>
      </c>
      <c r="NQ4" t="str" cm="1">
        <f t="array" ref="NQ4">_xlfn._xlws.SORT(_xlfn._xlws.FILTER(treatments[treatment_number]&amp;" | "&amp;treatments[treatment_name],treatments[experiment_ID]=NQ3))</f>
        <v xml:space="preserve"> | </v>
      </c>
      <c r="NR4" t="str" cm="1">
        <f t="array" ref="NR4">_xlfn._xlws.SORT(_xlfn._xlws.FILTER(treatments[treatment_number]&amp;" | "&amp;treatments[treatment_name],treatments[experiment_ID]=NR3))</f>
        <v xml:space="preserve"> | </v>
      </c>
      <c r="NS4" t="str" cm="1">
        <f t="array" ref="NS4">_xlfn._xlws.SORT(_xlfn._xlws.FILTER(treatments[treatment_number]&amp;" | "&amp;treatments[treatment_name],treatments[experiment_ID]=NS3))</f>
        <v xml:space="preserve"> | </v>
      </c>
      <c r="NT4" t="str" cm="1">
        <f t="array" ref="NT4">_xlfn._xlws.SORT(_xlfn._xlws.FILTER(treatments[treatment_number]&amp;" | "&amp;treatments[treatment_name],treatments[experiment_ID]=NT3))</f>
        <v xml:space="preserve"> | </v>
      </c>
      <c r="NU4" t="str" cm="1">
        <f t="array" ref="NU4">_xlfn._xlws.SORT(_xlfn._xlws.FILTER(treatments[treatment_number]&amp;" | "&amp;treatments[treatment_name],treatments[experiment_ID]=NU3))</f>
        <v xml:space="preserve"> | </v>
      </c>
      <c r="NV4" t="str" cm="1">
        <f t="array" ref="NV4">_xlfn._xlws.SORT(_xlfn._xlws.FILTER(treatments[treatment_number]&amp;" | "&amp;treatments[treatment_name],treatments[experiment_ID]=NV3))</f>
        <v xml:space="preserve"> | </v>
      </c>
      <c r="NW4" t="str" cm="1">
        <f t="array" ref="NW4">_xlfn._xlws.SORT(_xlfn._xlws.FILTER(treatments[treatment_number]&amp;" | "&amp;treatments[treatment_name],treatments[experiment_ID]=NW3))</f>
        <v xml:space="preserve"> | </v>
      </c>
      <c r="NX4" t="str" cm="1">
        <f t="array" ref="NX4">_xlfn._xlws.SORT(_xlfn._xlws.FILTER(treatments[treatment_number]&amp;" | "&amp;treatments[treatment_name],treatments[experiment_ID]=NX3))</f>
        <v xml:space="preserve"> | </v>
      </c>
      <c r="NY4" t="str" cm="1">
        <f t="array" ref="NY4">_xlfn._xlws.SORT(_xlfn._xlws.FILTER(treatments[treatment_number]&amp;" | "&amp;treatments[treatment_name],treatments[experiment_ID]=NY3))</f>
        <v xml:space="preserve"> | </v>
      </c>
      <c r="NZ4" t="str" cm="1">
        <f t="array" ref="NZ4">_xlfn._xlws.SORT(_xlfn._xlws.FILTER(treatments[treatment_number]&amp;" | "&amp;treatments[treatment_name],treatments[experiment_ID]=NZ3))</f>
        <v xml:space="preserve"> | </v>
      </c>
      <c r="OA4" t="str" cm="1">
        <f t="array" ref="OA4">_xlfn._xlws.SORT(_xlfn._xlws.FILTER(treatments[treatment_number]&amp;" | "&amp;treatments[treatment_name],treatments[experiment_ID]=OA3))</f>
        <v xml:space="preserve"> | </v>
      </c>
      <c r="OB4" t="str" cm="1">
        <f t="array" ref="OB4">_xlfn._xlws.SORT(_xlfn._xlws.FILTER(treatments[treatment_number]&amp;" | "&amp;treatments[treatment_name],treatments[experiment_ID]=OB3))</f>
        <v xml:space="preserve"> | </v>
      </c>
      <c r="OC4" t="str" cm="1">
        <f t="array" ref="OC4">_xlfn._xlws.SORT(_xlfn._xlws.FILTER(treatments[treatment_number]&amp;" | "&amp;treatments[treatment_name],treatments[experiment_ID]=OC3))</f>
        <v xml:space="preserve"> | </v>
      </c>
      <c r="OD4" t="str" cm="1">
        <f t="array" ref="OD4">_xlfn._xlws.SORT(_xlfn._xlws.FILTER(treatments[treatment_number]&amp;" | "&amp;treatments[treatment_name],treatments[experiment_ID]=OD3))</f>
        <v xml:space="preserve"> | </v>
      </c>
      <c r="OE4" t="str" cm="1">
        <f t="array" ref="OE4">_xlfn._xlws.SORT(_xlfn._xlws.FILTER(treatments[treatment_number]&amp;" | "&amp;treatments[treatment_name],treatments[experiment_ID]=OE3))</f>
        <v xml:space="preserve"> | </v>
      </c>
      <c r="OF4" t="str" cm="1">
        <f t="array" ref="OF4">_xlfn._xlws.SORT(_xlfn._xlws.FILTER(treatments[treatment_number]&amp;" | "&amp;treatments[treatment_name],treatments[experiment_ID]=OF3))</f>
        <v xml:space="preserve"> | </v>
      </c>
      <c r="OG4" t="str" cm="1">
        <f t="array" ref="OG4">_xlfn._xlws.SORT(_xlfn._xlws.FILTER(treatments[treatment_number]&amp;" | "&amp;treatments[treatment_name],treatments[experiment_ID]=OG3))</f>
        <v xml:space="preserve"> | </v>
      </c>
      <c r="OH4" t="str" cm="1">
        <f t="array" ref="OH4">_xlfn._xlws.SORT(_xlfn._xlws.FILTER(treatments[treatment_number]&amp;" | "&amp;treatments[treatment_name],treatments[experiment_ID]=OH3))</f>
        <v xml:space="preserve"> | </v>
      </c>
    </row>
    <row r="5" spans="1:398" x14ac:dyDescent="0.25">
      <c r="E5" t="str">
        <v>2 | Broca</v>
      </c>
      <c r="AU5" t="str">
        <v>2 | Spring wheat tillage</v>
      </c>
      <c r="BO5">
        <v>2</v>
      </c>
      <c r="CK5" t="str">
        <v>2 | Spring wheat sowing</v>
      </c>
      <c r="CL5" t="str">
        <v>2 | Winter wheat 25 plants/m2</v>
      </c>
      <c r="HZ5" t="str">
        <v>2 | High nitrogen + sulfur</v>
      </c>
      <c r="IT5">
        <v>2</v>
      </c>
      <c r="JO5" t="str">
        <v>2 | Spring wheat</v>
      </c>
      <c r="KI5">
        <v>2</v>
      </c>
      <c r="MS5">
        <v>3</v>
      </c>
      <c r="MT5">
        <v>2</v>
      </c>
      <c r="NO5" t="str">
        <v>2 | Broca - 92 kg[N]/ha</v>
      </c>
      <c r="NP5" t="str">
        <v>2 | Winter wheat - 25 plants/m2</v>
      </c>
    </row>
    <row r="6" spans="1:398" x14ac:dyDescent="0.25">
      <c r="CA6" t="str" cm="1">
        <f t="array" ref="CA6">_xlfn._xlws.SORT(_xlfn._xlws.FILTER(initialConditions[initial_conditions_level],initialConditions[experiment_ID]=CA5))</f>
        <v/>
      </c>
      <c r="CB6" t="str" cm="1">
        <f t="array" ref="CB6">_xlfn._xlws.SORT(_xlfn._xlws.FILTER(initialConditions[initial_conditions_level],initialConditions[experiment_ID]=CB5))</f>
        <v/>
      </c>
      <c r="CC6" t="str" cm="1">
        <f t="array" ref="CC6">_xlfn._xlws.SORT(_xlfn._xlws.FILTER(initialConditions[initial_conditions_level],initialConditions[experiment_ID]=CC5))</f>
        <v/>
      </c>
      <c r="CD6" t="str" cm="1">
        <f t="array" ref="CD6">_xlfn._xlws.SORT(_xlfn._xlws.FILTER(initialConditions[initial_conditions_level],initialConditions[experiment_ID]=CD5))</f>
        <v/>
      </c>
      <c r="CE6" t="str" cm="1">
        <f t="array" ref="CE6">_xlfn._xlws.SORT(_xlfn._xlws.FILTER(initialConditions[initial_conditions_level],initialConditions[experiment_ID]=CE5))</f>
        <v/>
      </c>
      <c r="CF6" t="str" cm="1">
        <f t="array" ref="CF6">_xlfn._xlws.SORT(_xlfn._xlws.FILTER(initialConditions[initial_conditions_level],initialConditions[experiment_ID]=CF5))</f>
        <v/>
      </c>
      <c r="CG6" t="str" cm="1">
        <f t="array" ref="CG6">_xlfn._xlws.SORT(_xlfn._xlws.FILTER(initialConditions[initial_conditions_level],initialConditions[experiment_ID]=CG5))</f>
        <v/>
      </c>
      <c r="CH6" t="str" cm="1">
        <f t="array" ref="CH6">_xlfn._xlws.SORT(_xlfn._xlws.FILTER(initialConditions[initial_conditions_level],initialConditions[experiment_ID]=CH5))</f>
        <v/>
      </c>
      <c r="CI6" t="str" cm="1">
        <f t="array" ref="CI6">_xlfn._xlws.SORT(_xlfn._xlws.FILTER(initialConditions[initial_conditions_level],initialConditions[experiment_ID]=CI5))</f>
        <v/>
      </c>
      <c r="CL6" t="str">
        <v>3 | Winter wheat 50 plants/m2</v>
      </c>
      <c r="EL6" t="str" cm="1">
        <f t="array" ref="EL6">_xlfn._xlws.SORT(_xlfn._xlws.FILTER(initialConditions[initial_conditions_level],initialConditions[experiment_ID]=EL5))</f>
        <v/>
      </c>
      <c r="EM6" t="str" cm="1">
        <f t="array" ref="EM6">_xlfn._xlws.SORT(_xlfn._xlws.FILTER(initialConditions[initial_conditions_level],initialConditions[experiment_ID]=EM5))</f>
        <v/>
      </c>
      <c r="EN6" t="str" cm="1">
        <f t="array" ref="EN6">_xlfn._xlws.SORT(_xlfn._xlws.FILTER(initialConditions[initial_conditions_level],initialConditions[experiment_ID]=EN5))</f>
        <v/>
      </c>
      <c r="EO6" t="str" cm="1">
        <f t="array" ref="EO6">_xlfn._xlws.SORT(_xlfn._xlws.FILTER(initialConditions[initial_conditions_level],initialConditions[experiment_ID]=EO5))</f>
        <v/>
      </c>
      <c r="EP6" t="str" cm="1">
        <f t="array" ref="EP6">_xlfn._xlws.SORT(_xlfn._xlws.FILTER(initialConditions[initial_conditions_level],initialConditions[experiment_ID]=EP5))</f>
        <v/>
      </c>
      <c r="EQ6" t="str" cm="1">
        <f t="array" ref="EQ6">_xlfn._xlws.SORT(_xlfn._xlws.FILTER(initialConditions[initial_conditions_level],initialConditions[experiment_ID]=EQ5))</f>
        <v/>
      </c>
      <c r="ER6" t="str" cm="1">
        <f t="array" ref="ER6">_xlfn._xlws.SORT(_xlfn._xlws.FILTER(initialConditions[initial_conditions_level],initialConditions[experiment_ID]=ER5))</f>
        <v/>
      </c>
      <c r="ES6" t="str" cm="1">
        <f t="array" ref="ES6">_xlfn._xlws.SORT(_xlfn._xlws.FILTER(initialConditions[initial_conditions_level],initialConditions[experiment_ID]=ES5))</f>
        <v/>
      </c>
      <c r="ET6" t="str" cm="1">
        <f t="array" ref="ET6">_xlfn._xlws.SORT(_xlfn._xlws.FILTER(initialConditions[initial_conditions_level],initialConditions[experiment_ID]=ET5))</f>
        <v/>
      </c>
      <c r="MS6">
        <v>4</v>
      </c>
      <c r="MT6">
        <v>3</v>
      </c>
      <c r="NE6" t="str" cm="1">
        <f t="array" ref="NE6">_xlfn._xlws.SORT(_xlfn._xlws.FILTER(initialConditions[initial_conditions_level],initialConditions[experiment_ID]=NE5))</f>
        <v/>
      </c>
      <c r="NF6" t="str" cm="1">
        <f t="array" ref="NF6">_xlfn._xlws.SORT(_xlfn._xlws.FILTER(initialConditions[initial_conditions_level],initialConditions[experiment_ID]=NF5))</f>
        <v/>
      </c>
      <c r="NG6" t="str" cm="1">
        <f t="array" ref="NG6">_xlfn._xlws.SORT(_xlfn._xlws.FILTER(initialConditions[initial_conditions_level],initialConditions[experiment_ID]=NG5))</f>
        <v/>
      </c>
      <c r="NH6" t="str" cm="1">
        <f t="array" ref="NH6">_xlfn._xlws.SORT(_xlfn._xlws.FILTER(initialConditions[initial_conditions_level],initialConditions[experiment_ID]=NH5))</f>
        <v/>
      </c>
      <c r="NI6" t="str" cm="1">
        <f t="array" ref="NI6">_xlfn._xlws.SORT(_xlfn._xlws.FILTER(initialConditions[initial_conditions_level],initialConditions[experiment_ID]=NI5))</f>
        <v/>
      </c>
      <c r="NJ6" t="str" cm="1">
        <f t="array" ref="NJ6">_xlfn._xlws.SORT(_xlfn._xlws.FILTER(initialConditions[initial_conditions_level],initialConditions[experiment_ID]=NJ5))</f>
        <v/>
      </c>
      <c r="NK6" t="str" cm="1">
        <f t="array" ref="NK6">_xlfn._xlws.SORT(_xlfn._xlws.FILTER(initialConditions[initial_conditions_level],initialConditions[experiment_ID]=NK5))</f>
        <v/>
      </c>
      <c r="NL6" t="str" cm="1">
        <f t="array" ref="NL6">_xlfn._xlws.SORT(_xlfn._xlws.FILTER(initialConditions[initial_conditions_level],initialConditions[experiment_ID]=NL5))</f>
        <v/>
      </c>
      <c r="NM6" t="str" cm="1">
        <f t="array" ref="NM6">_xlfn._xlws.SORT(_xlfn._xlws.FILTER(initialConditions[initial_conditions_level],initialConditions[experiment_ID]=NM5))</f>
        <v/>
      </c>
      <c r="NO6" t="str">
        <v>3 | Campesino - 140 kg[N]/ha</v>
      </c>
      <c r="NP6" t="str">
        <v>3 | Winter wheat - 50 plants/m2</v>
      </c>
    </row>
    <row r="7" spans="1:398" x14ac:dyDescent="0.25">
      <c r="CL7" t="str">
        <v>4 | Winter wheat 100 plants/m2</v>
      </c>
      <c r="MS7">
        <v>5</v>
      </c>
      <c r="MT7">
        <v>4</v>
      </c>
      <c r="NO7" t="str">
        <v>4 | Broca - 140 kg[N]/ha</v>
      </c>
      <c r="NP7" t="str">
        <v>4 | Winter wheat - 100 plants/m2</v>
      </c>
    </row>
    <row r="8" spans="1:398" x14ac:dyDescent="0.25">
      <c r="CL8" t="str">
        <v>5 | Winter wheat 200 plants/m2</v>
      </c>
      <c r="MS8">
        <v>6</v>
      </c>
      <c r="MT8">
        <v>5</v>
      </c>
      <c r="NP8" t="str">
        <v>5 | Winter wheat - 200 plants/m2</v>
      </c>
    </row>
    <row r="9" spans="1:398" x14ac:dyDescent="0.25">
      <c r="CL9" t="str">
        <v>6 | Winter wheat 400 plants/m2</v>
      </c>
      <c r="MS9">
        <v>27</v>
      </c>
      <c r="MT9">
        <v>6</v>
      </c>
      <c r="NP9" t="str">
        <v>6 | Winter wheat - 400 plants/m2</v>
      </c>
    </row>
    <row r="10" spans="1:398" x14ac:dyDescent="0.25">
      <c r="CL10" t="str">
        <v>7 | Winter wheat 800 plants/m2</v>
      </c>
      <c r="MS10">
        <v>28</v>
      </c>
      <c r="MT10">
        <v>7</v>
      </c>
      <c r="NP10" t="str">
        <v>7 | Winter wheat - 800 plants/m2</v>
      </c>
    </row>
    <row r="11" spans="1:398" x14ac:dyDescent="0.25">
      <c r="MS11">
        <v>29</v>
      </c>
    </row>
    <row r="12" spans="1:398" x14ac:dyDescent="0.25">
      <c r="MS12">
        <v>30</v>
      </c>
    </row>
    <row r="13" spans="1:398" x14ac:dyDescent="0.25">
      <c r="MS13">
        <v>31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O1529"/>
  <sheetViews>
    <sheetView zoomScaleNormal="100" workbookViewId="0">
      <pane ySplit="1" topLeftCell="A335" activePane="bottomLeft" state="frozen"/>
      <selection activeCell="A169" sqref="A169:XFD169"/>
      <selection pane="bottomLeft" activeCell="A169" sqref="A169:XFD169"/>
    </sheetView>
  </sheetViews>
  <sheetFormatPr defaultRowHeight="15" x14ac:dyDescent="0.25"/>
  <cols>
    <col min="1" max="1" width="29" customWidth="1"/>
    <col min="2" max="2" width="7" style="13" customWidth="1"/>
    <col min="3" max="3" width="29.85546875" customWidth="1"/>
    <col min="4" max="4" width="43.7109375" bestFit="1" customWidth="1"/>
    <col min="5" max="5" width="29.85546875" customWidth="1"/>
    <col min="6" max="6" width="41.140625" customWidth="1"/>
    <col min="7" max="7" width="13.7109375" customWidth="1"/>
    <col min="8" max="9" width="33.28515625" customWidth="1"/>
    <col min="10" max="10" width="30.5703125" bestFit="1" customWidth="1"/>
    <col min="11" max="12" width="6.140625" customWidth="1"/>
    <col min="13" max="13" width="15.140625" bestFit="1" customWidth="1"/>
    <col min="14" max="14" width="13.7109375" bestFit="1" customWidth="1"/>
  </cols>
  <sheetData>
    <row r="1" spans="1:15" x14ac:dyDescent="0.25">
      <c r="A1" s="81" t="s">
        <v>37</v>
      </c>
      <c r="B1" s="140" t="s">
        <v>6719</v>
      </c>
      <c r="C1" s="81" t="s">
        <v>273</v>
      </c>
      <c r="D1" s="81" t="s">
        <v>1914</v>
      </c>
      <c r="E1" s="81" t="s">
        <v>1514</v>
      </c>
      <c r="F1" s="81" t="s">
        <v>1915</v>
      </c>
      <c r="G1" s="81" t="s">
        <v>274</v>
      </c>
      <c r="H1" s="81" t="s">
        <v>275</v>
      </c>
      <c r="I1" s="81" t="s">
        <v>2479</v>
      </c>
      <c r="J1" s="81" t="s">
        <v>3437</v>
      </c>
      <c r="K1" s="83" t="s">
        <v>3402</v>
      </c>
      <c r="L1" s="83" t="s">
        <v>3806</v>
      </c>
      <c r="M1" s="81" t="s">
        <v>276</v>
      </c>
      <c r="N1" s="81" t="s">
        <v>3807</v>
      </c>
      <c r="O1" s="81" t="s">
        <v>6720</v>
      </c>
    </row>
    <row r="2" spans="1:15" x14ac:dyDescent="0.25">
      <c r="A2" t="s">
        <v>3830</v>
      </c>
      <c r="B2" s="114">
        <v>1</v>
      </c>
      <c r="C2" t="s">
        <v>3831</v>
      </c>
      <c r="D2" s="63" t="s">
        <v>6420</v>
      </c>
      <c r="G2" t="s">
        <v>3916</v>
      </c>
      <c r="H2" t="s">
        <v>3917</v>
      </c>
      <c r="L2" s="13">
        <v>0</v>
      </c>
      <c r="M2" t="s">
        <v>153</v>
      </c>
      <c r="N2" t="s">
        <v>45</v>
      </c>
    </row>
    <row r="3" spans="1:15" x14ac:dyDescent="0.25">
      <c r="A3" t="s">
        <v>3830</v>
      </c>
      <c r="B3" s="114">
        <v>1</v>
      </c>
      <c r="C3" t="s">
        <v>3842</v>
      </c>
      <c r="D3" s="63" t="s">
        <v>6641</v>
      </c>
      <c r="G3" t="s">
        <v>3938</v>
      </c>
      <c r="H3" t="s">
        <v>3939</v>
      </c>
      <c r="L3" s="13">
        <v>0</v>
      </c>
      <c r="M3" t="s">
        <v>91</v>
      </c>
      <c r="N3" t="s">
        <v>45</v>
      </c>
    </row>
    <row r="4" spans="1:15" x14ac:dyDescent="0.25">
      <c r="A4" t="s">
        <v>3830</v>
      </c>
      <c r="B4" s="114">
        <v>1</v>
      </c>
      <c r="C4" t="s">
        <v>3843</v>
      </c>
      <c r="D4" s="63" t="s">
        <v>6642</v>
      </c>
      <c r="G4" t="s">
        <v>3823</v>
      </c>
      <c r="H4" t="s">
        <v>3940</v>
      </c>
      <c r="L4" s="13">
        <v>0</v>
      </c>
      <c r="M4" t="s">
        <v>91</v>
      </c>
      <c r="N4" t="s">
        <v>45</v>
      </c>
    </row>
    <row r="5" spans="1:15" x14ac:dyDescent="0.25">
      <c r="A5" t="s">
        <v>3830</v>
      </c>
      <c r="B5" s="114">
        <v>2</v>
      </c>
      <c r="C5" t="s">
        <v>3832</v>
      </c>
      <c r="D5" s="63" t="s">
        <v>6421</v>
      </c>
      <c r="G5" t="s">
        <v>3918</v>
      </c>
      <c r="H5" t="s">
        <v>3919</v>
      </c>
      <c r="L5" s="13">
        <v>0</v>
      </c>
      <c r="M5" t="s">
        <v>91</v>
      </c>
      <c r="N5" t="s">
        <v>45</v>
      </c>
    </row>
    <row r="6" spans="1:15" x14ac:dyDescent="0.25">
      <c r="A6" t="s">
        <v>3830</v>
      </c>
      <c r="B6" s="114">
        <v>3</v>
      </c>
      <c r="C6" t="s">
        <v>3833</v>
      </c>
      <c r="D6" s="64" t="s">
        <v>6644</v>
      </c>
      <c r="G6" t="s">
        <v>3920</v>
      </c>
      <c r="H6" t="s">
        <v>3921</v>
      </c>
      <c r="L6" s="13">
        <v>0</v>
      </c>
      <c r="M6" t="s">
        <v>92</v>
      </c>
      <c r="N6" t="s">
        <v>45</v>
      </c>
    </row>
    <row r="7" spans="1:15" x14ac:dyDescent="0.25">
      <c r="A7" t="s">
        <v>3830</v>
      </c>
      <c r="B7" s="114">
        <v>4</v>
      </c>
      <c r="C7" t="s">
        <v>3834</v>
      </c>
      <c r="D7" s="64" t="s">
        <v>6643</v>
      </c>
      <c r="G7" t="s">
        <v>3922</v>
      </c>
      <c r="H7" t="s">
        <v>3923</v>
      </c>
      <c r="L7" s="13">
        <v>0</v>
      </c>
      <c r="M7" t="s">
        <v>92</v>
      </c>
      <c r="N7" t="s">
        <v>45</v>
      </c>
    </row>
    <row r="8" spans="1:15" x14ac:dyDescent="0.25">
      <c r="A8" t="s">
        <v>3830</v>
      </c>
      <c r="B8" s="114">
        <v>5</v>
      </c>
      <c r="C8" t="s">
        <v>3835</v>
      </c>
      <c r="D8" s="63" t="s">
        <v>6645</v>
      </c>
      <c r="G8" t="s">
        <v>3924</v>
      </c>
      <c r="H8" t="s">
        <v>3925</v>
      </c>
      <c r="L8" s="13">
        <v>0</v>
      </c>
      <c r="M8" t="s">
        <v>153</v>
      </c>
      <c r="N8" t="s">
        <v>45</v>
      </c>
    </row>
    <row r="9" spans="1:15" x14ac:dyDescent="0.25">
      <c r="A9" t="s">
        <v>3830</v>
      </c>
      <c r="B9" s="114">
        <v>6</v>
      </c>
      <c r="C9" t="s">
        <v>3836</v>
      </c>
      <c r="D9" s="63" t="s">
        <v>6646</v>
      </c>
      <c r="G9" t="s">
        <v>3926</v>
      </c>
      <c r="H9" t="s">
        <v>3927</v>
      </c>
      <c r="L9" s="13">
        <v>0</v>
      </c>
      <c r="M9" t="s">
        <v>91</v>
      </c>
      <c r="N9" t="s">
        <v>45</v>
      </c>
    </row>
    <row r="10" spans="1:15" x14ac:dyDescent="0.25">
      <c r="A10" t="s">
        <v>3830</v>
      </c>
      <c r="B10" s="114">
        <v>7</v>
      </c>
      <c r="C10" t="s">
        <v>3837</v>
      </c>
      <c r="D10" t="s">
        <v>6416</v>
      </c>
      <c r="G10" t="s">
        <v>3928</v>
      </c>
      <c r="H10" t="s">
        <v>3929</v>
      </c>
      <c r="L10" s="13">
        <v>0</v>
      </c>
      <c r="M10" t="s">
        <v>100</v>
      </c>
      <c r="N10" t="s">
        <v>45</v>
      </c>
    </row>
    <row r="11" spans="1:15" x14ac:dyDescent="0.25">
      <c r="A11" t="s">
        <v>3830</v>
      </c>
      <c r="B11" s="114">
        <v>8</v>
      </c>
      <c r="C11" t="s">
        <v>3838</v>
      </c>
      <c r="D11" t="s">
        <v>6419</v>
      </c>
      <c r="G11" t="s">
        <v>3930</v>
      </c>
      <c r="H11" t="s">
        <v>3931</v>
      </c>
      <c r="L11" s="13">
        <v>0</v>
      </c>
      <c r="M11" t="s">
        <v>100</v>
      </c>
      <c r="N11" t="s">
        <v>45</v>
      </c>
    </row>
    <row r="12" spans="1:15" x14ac:dyDescent="0.25">
      <c r="A12" t="s">
        <v>3830</v>
      </c>
      <c r="B12" s="114">
        <v>9</v>
      </c>
      <c r="C12" t="s">
        <v>3839</v>
      </c>
      <c r="D12" t="s">
        <v>6417</v>
      </c>
      <c r="G12" t="s">
        <v>3932</v>
      </c>
      <c r="H12" t="s">
        <v>3933</v>
      </c>
      <c r="L12" s="13">
        <v>0</v>
      </c>
      <c r="M12" t="s">
        <v>100</v>
      </c>
      <c r="N12" t="s">
        <v>45</v>
      </c>
    </row>
    <row r="13" spans="1:15" x14ac:dyDescent="0.25">
      <c r="A13" t="s">
        <v>3830</v>
      </c>
      <c r="B13" s="114">
        <v>10</v>
      </c>
      <c r="C13" t="s">
        <v>3840</v>
      </c>
      <c r="D13" t="s">
        <v>6418</v>
      </c>
      <c r="G13" t="s">
        <v>3934</v>
      </c>
      <c r="H13" t="s">
        <v>3935</v>
      </c>
      <c r="L13" s="13">
        <v>0</v>
      </c>
      <c r="M13" t="s">
        <v>100</v>
      </c>
      <c r="N13" t="s">
        <v>45</v>
      </c>
    </row>
    <row r="14" spans="1:15" x14ac:dyDescent="0.25">
      <c r="A14" t="s">
        <v>3830</v>
      </c>
      <c r="B14" s="114">
        <v>11</v>
      </c>
      <c r="C14" t="s">
        <v>3841</v>
      </c>
      <c r="D14" t="s">
        <v>6647</v>
      </c>
      <c r="G14" t="s">
        <v>3936</v>
      </c>
      <c r="H14" t="s">
        <v>3937</v>
      </c>
      <c r="L14" s="13">
        <v>0</v>
      </c>
      <c r="M14" t="s">
        <v>91</v>
      </c>
      <c r="N14" t="s">
        <v>45</v>
      </c>
    </row>
    <row r="15" spans="1:15" x14ac:dyDescent="0.25">
      <c r="A15" s="144" t="s">
        <v>6875</v>
      </c>
      <c r="B15" s="141">
        <v>4</v>
      </c>
      <c r="C15" s="91" t="s">
        <v>6793</v>
      </c>
      <c r="E15" s="91"/>
      <c r="G15" s="91" t="s">
        <v>6873</v>
      </c>
      <c r="H15" s="91" t="s">
        <v>6874</v>
      </c>
      <c r="J15" s="91"/>
      <c r="K15" s="136"/>
      <c r="L15" s="136"/>
      <c r="M15" s="91" t="s">
        <v>92</v>
      </c>
      <c r="N15" s="138" t="s">
        <v>54</v>
      </c>
      <c r="O15" s="137"/>
    </row>
    <row r="16" spans="1:15" x14ac:dyDescent="0.25">
      <c r="A16" s="144" t="s">
        <v>6875</v>
      </c>
      <c r="B16" s="141">
        <v>5</v>
      </c>
      <c r="C16" s="91" t="s">
        <v>6794</v>
      </c>
      <c r="E16" s="91"/>
      <c r="G16" s="91" t="s">
        <v>6876</v>
      </c>
      <c r="H16" s="91" t="s">
        <v>6877</v>
      </c>
      <c r="J16" s="91"/>
      <c r="K16" s="136"/>
      <c r="L16" s="136"/>
      <c r="M16" s="91" t="s">
        <v>165</v>
      </c>
      <c r="N16" s="138" t="s">
        <v>54</v>
      </c>
      <c r="O16" s="137"/>
    </row>
    <row r="17" spans="1:15" x14ac:dyDescent="0.25">
      <c r="A17" s="144" t="s">
        <v>6875</v>
      </c>
      <c r="B17" s="141">
        <v>6</v>
      </c>
      <c r="C17" s="91" t="s">
        <v>6795</v>
      </c>
      <c r="E17" s="91"/>
      <c r="G17" s="91" t="s">
        <v>6878</v>
      </c>
      <c r="H17" s="91" t="s">
        <v>6879</v>
      </c>
      <c r="J17" s="91"/>
      <c r="K17" s="136"/>
      <c r="L17" s="136"/>
      <c r="M17" s="91" t="s">
        <v>157</v>
      </c>
      <c r="N17" s="138" t="s">
        <v>54</v>
      </c>
      <c r="O17" s="137"/>
    </row>
    <row r="18" spans="1:15" x14ac:dyDescent="0.25">
      <c r="A18" s="144" t="s">
        <v>6875</v>
      </c>
      <c r="B18" s="141">
        <v>7</v>
      </c>
      <c r="C18" s="91" t="s">
        <v>6796</v>
      </c>
      <c r="E18" s="91"/>
      <c r="G18" s="91" t="s">
        <v>6880</v>
      </c>
      <c r="H18" s="91" t="s">
        <v>6881</v>
      </c>
      <c r="J18" s="91"/>
      <c r="K18" s="136"/>
      <c r="L18" s="136"/>
      <c r="M18" s="91" t="s">
        <v>92</v>
      </c>
      <c r="N18" s="138" t="s">
        <v>54</v>
      </c>
      <c r="O18" s="137"/>
    </row>
    <row r="19" spans="1:15" x14ac:dyDescent="0.25">
      <c r="A19" s="144" t="s">
        <v>6875</v>
      </c>
      <c r="B19" s="141">
        <v>8</v>
      </c>
      <c r="C19" s="91" t="s">
        <v>6797</v>
      </c>
      <c r="E19" s="91"/>
      <c r="G19" s="91" t="s">
        <v>6882</v>
      </c>
      <c r="H19" s="91" t="s">
        <v>6883</v>
      </c>
      <c r="J19" s="91"/>
      <c r="K19" s="136"/>
      <c r="L19" s="136"/>
      <c r="M19" s="91" t="s">
        <v>156</v>
      </c>
      <c r="N19" s="138" t="s">
        <v>54</v>
      </c>
      <c r="O19" s="137"/>
    </row>
    <row r="20" spans="1:15" x14ac:dyDescent="0.25">
      <c r="A20" s="144" t="s">
        <v>6875</v>
      </c>
      <c r="B20" s="141">
        <v>9</v>
      </c>
      <c r="C20" s="91" t="s">
        <v>6798</v>
      </c>
      <c r="E20" s="91"/>
      <c r="G20" s="91" t="s">
        <v>6884</v>
      </c>
      <c r="H20" s="91" t="s">
        <v>6885</v>
      </c>
      <c r="J20" s="91"/>
      <c r="K20" s="136"/>
      <c r="L20" s="136"/>
      <c r="M20" s="91" t="s">
        <v>195</v>
      </c>
      <c r="N20" s="138" t="s">
        <v>54</v>
      </c>
      <c r="O20" s="137"/>
    </row>
    <row r="21" spans="1:15" x14ac:dyDescent="0.25">
      <c r="A21" s="144" t="s">
        <v>6875</v>
      </c>
      <c r="B21" s="141">
        <v>10</v>
      </c>
      <c r="C21" s="91" t="s">
        <v>6799</v>
      </c>
      <c r="E21" s="91"/>
      <c r="G21" s="91" t="s">
        <v>6886</v>
      </c>
      <c r="H21" s="91" t="s">
        <v>6887</v>
      </c>
      <c r="J21" s="91"/>
      <c r="K21" s="136"/>
      <c r="L21" s="136"/>
      <c r="M21" s="91" t="s">
        <v>195</v>
      </c>
      <c r="N21" s="138" t="s">
        <v>54</v>
      </c>
      <c r="O21" s="137"/>
    </row>
    <row r="22" spans="1:15" x14ac:dyDescent="0.25">
      <c r="A22" s="144" t="s">
        <v>6875</v>
      </c>
      <c r="B22" s="141"/>
      <c r="C22" s="91" t="s">
        <v>6801</v>
      </c>
      <c r="E22" s="91"/>
      <c r="G22" s="91" t="s">
        <v>6890</v>
      </c>
      <c r="H22" s="91" t="s">
        <v>6891</v>
      </c>
      <c r="J22" s="91"/>
      <c r="K22" s="136"/>
      <c r="L22" s="136"/>
      <c r="M22" s="91" t="s">
        <v>153</v>
      </c>
      <c r="N22" s="138" t="s">
        <v>54</v>
      </c>
      <c r="O22" s="92"/>
    </row>
    <row r="23" spans="1:15" x14ac:dyDescent="0.25">
      <c r="A23" s="144" t="s">
        <v>6875</v>
      </c>
      <c r="B23" s="141"/>
      <c r="C23" s="91" t="s">
        <v>6800</v>
      </c>
      <c r="E23" s="91"/>
      <c r="G23" s="91" t="s">
        <v>6888</v>
      </c>
      <c r="H23" s="91" t="s">
        <v>6889</v>
      </c>
      <c r="J23" s="91"/>
      <c r="K23" s="136"/>
      <c r="L23" s="136"/>
      <c r="M23" s="91" t="s">
        <v>92</v>
      </c>
      <c r="N23" s="138" t="s">
        <v>54</v>
      </c>
      <c r="O23" s="92"/>
    </row>
    <row r="24" spans="1:15" x14ac:dyDescent="0.25">
      <c r="A24" t="s">
        <v>2043</v>
      </c>
      <c r="B24" s="141">
        <v>-99</v>
      </c>
      <c r="C24" s="91" t="s">
        <v>6811</v>
      </c>
      <c r="E24" s="91"/>
      <c r="G24" s="91" t="s">
        <v>6912</v>
      </c>
      <c r="H24" s="91" t="s">
        <v>6913</v>
      </c>
      <c r="J24" s="91"/>
      <c r="K24" s="136"/>
      <c r="L24" s="136"/>
      <c r="M24" s="91" t="s">
        <v>3005</v>
      </c>
      <c r="N24" s="138" t="s">
        <v>54</v>
      </c>
      <c r="O24" s="92"/>
    </row>
    <row r="25" spans="1:15" x14ac:dyDescent="0.25">
      <c r="A25" t="s">
        <v>2043</v>
      </c>
      <c r="B25" s="141">
        <v>-99</v>
      </c>
      <c r="C25" s="91" t="s">
        <v>6810</v>
      </c>
      <c r="E25" s="91"/>
      <c r="G25" s="91" t="s">
        <v>6910</v>
      </c>
      <c r="H25" s="91" t="s">
        <v>6911</v>
      </c>
      <c r="J25" s="91"/>
      <c r="K25" s="136"/>
      <c r="L25" s="136"/>
      <c r="M25" s="91" t="s">
        <v>3004</v>
      </c>
      <c r="N25" s="138" t="s">
        <v>54</v>
      </c>
      <c r="O25" s="92"/>
    </row>
    <row r="26" spans="1:15" x14ac:dyDescent="0.25">
      <c r="A26" s="123" t="s">
        <v>2043</v>
      </c>
      <c r="B26" s="124">
        <v>0</v>
      </c>
      <c r="C26" s="125" t="s">
        <v>93</v>
      </c>
      <c r="D26" s="125" t="s">
        <v>1927</v>
      </c>
      <c r="E26" s="126" t="s">
        <v>2139</v>
      </c>
      <c r="F26" s="125" t="s">
        <v>2187</v>
      </c>
      <c r="G26" s="125" t="s">
        <v>277</v>
      </c>
      <c r="H26" s="125" t="s">
        <v>278</v>
      </c>
      <c r="I26" s="125" t="s">
        <v>2320</v>
      </c>
      <c r="J26" s="127"/>
      <c r="K26" s="124">
        <v>1</v>
      </c>
      <c r="L26" s="124" t="s">
        <v>605</v>
      </c>
      <c r="M26" s="125" t="s">
        <v>91</v>
      </c>
      <c r="N26" s="123" t="s">
        <v>54</v>
      </c>
      <c r="O26" s="123"/>
    </row>
    <row r="27" spans="1:15" x14ac:dyDescent="0.25">
      <c r="A27" t="s">
        <v>2043</v>
      </c>
      <c r="B27" s="85">
        <v>1</v>
      </c>
      <c r="C27" s="61" t="s">
        <v>126</v>
      </c>
      <c r="D27" s="61" t="s">
        <v>1954</v>
      </c>
      <c r="E27" s="61"/>
      <c r="F27" s="61" t="s">
        <v>2184</v>
      </c>
      <c r="G27" s="61" t="s">
        <v>338</v>
      </c>
      <c r="H27" s="63" t="s">
        <v>2125</v>
      </c>
      <c r="I27" s="76" t="s">
        <v>2470</v>
      </c>
      <c r="J27" s="63"/>
      <c r="K27" s="85">
        <v>1</v>
      </c>
      <c r="L27" s="85" t="s">
        <v>605</v>
      </c>
      <c r="M27" s="61" t="s">
        <v>100</v>
      </c>
      <c r="N27" t="s">
        <v>54</v>
      </c>
    </row>
    <row r="28" spans="1:15" x14ac:dyDescent="0.25">
      <c r="A28" t="s">
        <v>2043</v>
      </c>
      <c r="B28" s="85">
        <v>2</v>
      </c>
      <c r="C28" s="61" t="s">
        <v>2034</v>
      </c>
      <c r="D28" s="61" t="s">
        <v>2063</v>
      </c>
      <c r="E28" s="61"/>
      <c r="F28" s="61" t="s">
        <v>2182</v>
      </c>
      <c r="G28" s="61" t="s">
        <v>2115</v>
      </c>
      <c r="H28" s="61" t="s">
        <v>2116</v>
      </c>
      <c r="I28" s="75" t="s">
        <v>2471</v>
      </c>
      <c r="J28" s="63"/>
      <c r="K28" s="85">
        <v>0</v>
      </c>
      <c r="L28" s="85" t="s">
        <v>605</v>
      </c>
      <c r="M28" s="61" t="s">
        <v>153</v>
      </c>
      <c r="N28" t="s">
        <v>54</v>
      </c>
    </row>
    <row r="29" spans="1:15" x14ac:dyDescent="0.25">
      <c r="A29" t="s">
        <v>2043</v>
      </c>
      <c r="B29" s="85">
        <v>3</v>
      </c>
      <c r="C29" s="61" t="s">
        <v>2035</v>
      </c>
      <c r="D29" s="61" t="s">
        <v>2062</v>
      </c>
      <c r="E29" s="61"/>
      <c r="F29" s="61" t="s">
        <v>2273</v>
      </c>
      <c r="G29" s="61" t="s">
        <v>2121</v>
      </c>
      <c r="H29" s="61" t="s">
        <v>2119</v>
      </c>
      <c r="I29" s="75" t="s">
        <v>2473</v>
      </c>
      <c r="J29" s="63" t="s">
        <v>3453</v>
      </c>
      <c r="K29" s="85">
        <v>0</v>
      </c>
      <c r="L29" s="85">
        <v>0</v>
      </c>
      <c r="M29" s="61" t="s">
        <v>92</v>
      </c>
      <c r="N29" t="s">
        <v>54</v>
      </c>
    </row>
    <row r="30" spans="1:15" x14ac:dyDescent="0.25">
      <c r="A30" t="s">
        <v>2043</v>
      </c>
      <c r="B30" s="85">
        <v>4</v>
      </c>
      <c r="C30" s="61" t="s">
        <v>2037</v>
      </c>
      <c r="D30" s="61" t="s">
        <v>1956</v>
      </c>
      <c r="E30" s="61"/>
      <c r="F30" s="61" t="s">
        <v>2276</v>
      </c>
      <c r="G30" s="61" t="s">
        <v>2122</v>
      </c>
      <c r="H30" s="61" t="s">
        <v>2120</v>
      </c>
      <c r="I30" s="75" t="s">
        <v>2474</v>
      </c>
      <c r="J30" s="63" t="s">
        <v>3438</v>
      </c>
      <c r="K30" s="85">
        <v>0</v>
      </c>
      <c r="L30" s="85">
        <v>0</v>
      </c>
      <c r="M30" s="61" t="s">
        <v>92</v>
      </c>
      <c r="N30" t="s">
        <v>54</v>
      </c>
    </row>
    <row r="31" spans="1:15" x14ac:dyDescent="0.25">
      <c r="A31" t="s">
        <v>2043</v>
      </c>
      <c r="B31" s="85">
        <v>5</v>
      </c>
      <c r="C31" s="63" t="s">
        <v>2764</v>
      </c>
      <c r="D31" s="57" t="s">
        <v>1889</v>
      </c>
      <c r="E31" s="63"/>
      <c r="F31" s="63" t="s">
        <v>2218</v>
      </c>
      <c r="G31" s="63" t="s">
        <v>3196</v>
      </c>
      <c r="H31" s="57" t="s">
        <v>2968</v>
      </c>
      <c r="I31" s="63"/>
      <c r="J31" s="63"/>
      <c r="K31" s="85">
        <v>0</v>
      </c>
      <c r="L31" s="85">
        <v>0</v>
      </c>
      <c r="M31" s="57" t="s">
        <v>156</v>
      </c>
      <c r="N31" t="s">
        <v>54</v>
      </c>
    </row>
    <row r="32" spans="1:15" x14ac:dyDescent="0.25">
      <c r="A32" t="s">
        <v>2043</v>
      </c>
      <c r="B32" s="85">
        <v>6</v>
      </c>
      <c r="C32" s="61" t="s">
        <v>2038</v>
      </c>
      <c r="D32" s="61" t="s">
        <v>2036</v>
      </c>
      <c r="E32" s="61"/>
      <c r="F32" s="61" t="s">
        <v>2275</v>
      </c>
      <c r="G32" s="61" t="s">
        <v>2124</v>
      </c>
      <c r="H32" s="61" t="s">
        <v>2123</v>
      </c>
      <c r="I32" s="75" t="s">
        <v>2475</v>
      </c>
      <c r="J32" s="63"/>
      <c r="K32" s="85">
        <v>0</v>
      </c>
      <c r="L32" s="85">
        <v>0</v>
      </c>
      <c r="M32" s="61" t="s">
        <v>262</v>
      </c>
      <c r="N32" t="s">
        <v>54</v>
      </c>
    </row>
    <row r="33" spans="1:15" x14ac:dyDescent="0.25">
      <c r="A33" t="s">
        <v>2043</v>
      </c>
      <c r="B33" s="85">
        <v>7</v>
      </c>
      <c r="C33" s="62" t="s">
        <v>2039</v>
      </c>
      <c r="D33" s="61" t="s">
        <v>2040</v>
      </c>
      <c r="E33" s="61"/>
      <c r="F33" s="61" t="s">
        <v>2272</v>
      </c>
      <c r="G33" s="61" t="s">
        <v>2118</v>
      </c>
      <c r="H33" s="61" t="s">
        <v>2117</v>
      </c>
      <c r="I33" s="75" t="s">
        <v>2472</v>
      </c>
      <c r="J33" s="64"/>
      <c r="K33" s="85">
        <v>0</v>
      </c>
      <c r="L33" s="85">
        <v>0</v>
      </c>
      <c r="M33" s="61" t="s">
        <v>92</v>
      </c>
      <c r="N33" t="s">
        <v>54</v>
      </c>
    </row>
    <row r="34" spans="1:15" x14ac:dyDescent="0.25">
      <c r="A34" s="145" t="s">
        <v>6909</v>
      </c>
      <c r="B34" s="141">
        <v>-99</v>
      </c>
      <c r="C34" s="91" t="s">
        <v>292</v>
      </c>
      <c r="E34" s="91"/>
      <c r="G34" s="91" t="s">
        <v>292</v>
      </c>
      <c r="H34" s="91" t="s">
        <v>292</v>
      </c>
      <c r="J34" s="91"/>
      <c r="K34" s="136"/>
      <c r="L34" s="136"/>
      <c r="M34" s="92"/>
      <c r="N34" s="138" t="s">
        <v>54</v>
      </c>
      <c r="O34" s="92"/>
    </row>
    <row r="35" spans="1:15" x14ac:dyDescent="0.25">
      <c r="A35" s="144" t="s">
        <v>2044</v>
      </c>
      <c r="B35" s="141">
        <v>-99</v>
      </c>
      <c r="C35" s="91" t="s">
        <v>292</v>
      </c>
      <c r="E35" s="91"/>
      <c r="G35" s="91" t="s">
        <v>292</v>
      </c>
      <c r="H35" s="91" t="s">
        <v>292</v>
      </c>
      <c r="J35" s="91"/>
      <c r="K35" s="136"/>
      <c r="L35" s="136"/>
      <c r="M35" s="92"/>
      <c r="N35" s="138" t="s">
        <v>54</v>
      </c>
      <c r="O35" s="92"/>
    </row>
    <row r="36" spans="1:15" x14ac:dyDescent="0.25">
      <c r="A36" s="123" t="s">
        <v>2044</v>
      </c>
      <c r="B36" s="124">
        <v>0</v>
      </c>
      <c r="C36" s="125" t="s">
        <v>93</v>
      </c>
      <c r="D36" s="125" t="s">
        <v>1927</v>
      </c>
      <c r="E36" s="126" t="s">
        <v>2139</v>
      </c>
      <c r="F36" s="125" t="s">
        <v>2187</v>
      </c>
      <c r="G36" s="125" t="s">
        <v>277</v>
      </c>
      <c r="H36" s="125" t="s">
        <v>278</v>
      </c>
      <c r="I36" s="125" t="s">
        <v>2320</v>
      </c>
      <c r="J36" s="127"/>
      <c r="K36" s="124">
        <v>1</v>
      </c>
      <c r="L36" s="124" t="s">
        <v>605</v>
      </c>
      <c r="M36" s="125" t="s">
        <v>91</v>
      </c>
      <c r="N36" s="123" t="s">
        <v>54</v>
      </c>
      <c r="O36" s="123"/>
    </row>
    <row r="37" spans="1:15" x14ac:dyDescent="0.25">
      <c r="A37" t="s">
        <v>2044</v>
      </c>
      <c r="B37" s="85">
        <v>1</v>
      </c>
      <c r="C37" s="61" t="s">
        <v>126</v>
      </c>
      <c r="D37" s="61" t="s">
        <v>1926</v>
      </c>
      <c r="E37" s="61"/>
      <c r="F37" s="61" t="s">
        <v>2155</v>
      </c>
      <c r="G37" s="61" t="s">
        <v>338</v>
      </c>
      <c r="H37" s="61" t="s">
        <v>339</v>
      </c>
      <c r="I37" s="75" t="s">
        <v>2344</v>
      </c>
      <c r="J37" s="63"/>
      <c r="K37" s="85">
        <v>1</v>
      </c>
      <c r="L37" s="85" t="s">
        <v>605</v>
      </c>
      <c r="M37" s="61" t="s">
        <v>100</v>
      </c>
      <c r="N37" t="s">
        <v>54</v>
      </c>
    </row>
    <row r="38" spans="1:15" x14ac:dyDescent="0.25">
      <c r="A38" t="s">
        <v>2044</v>
      </c>
      <c r="B38" s="85">
        <v>2</v>
      </c>
      <c r="C38" s="62" t="s">
        <v>2041</v>
      </c>
      <c r="D38" s="61" t="s">
        <v>6475</v>
      </c>
      <c r="E38" s="61"/>
      <c r="F38" s="61" t="s">
        <v>2183</v>
      </c>
      <c r="G38" s="61" t="s">
        <v>2113</v>
      </c>
      <c r="H38" s="61" t="s">
        <v>2111</v>
      </c>
      <c r="I38" s="75" t="s">
        <v>2468</v>
      </c>
      <c r="J38" s="63"/>
      <c r="K38" s="85">
        <v>0</v>
      </c>
      <c r="L38" s="85" t="s">
        <v>605</v>
      </c>
      <c r="M38" s="61" t="s">
        <v>91</v>
      </c>
      <c r="N38" t="s">
        <v>54</v>
      </c>
    </row>
    <row r="39" spans="1:15" x14ac:dyDescent="0.25">
      <c r="A39" t="s">
        <v>2044</v>
      </c>
      <c r="B39" s="85">
        <v>3</v>
      </c>
      <c r="C39" s="61" t="s">
        <v>2042</v>
      </c>
      <c r="D39" s="61" t="s">
        <v>1899</v>
      </c>
      <c r="E39" s="61"/>
      <c r="F39" s="61" t="s">
        <v>2181</v>
      </c>
      <c r="G39" s="61" t="s">
        <v>2114</v>
      </c>
      <c r="H39" s="61" t="s">
        <v>2112</v>
      </c>
      <c r="I39" s="75" t="s">
        <v>2469</v>
      </c>
      <c r="J39" s="63"/>
      <c r="K39" s="85">
        <v>0</v>
      </c>
      <c r="L39" s="85">
        <v>0</v>
      </c>
      <c r="M39" s="61" t="s">
        <v>91</v>
      </c>
      <c r="N39" t="s">
        <v>54</v>
      </c>
    </row>
    <row r="40" spans="1:15" x14ac:dyDescent="0.25">
      <c r="A40" s="123" t="s">
        <v>52</v>
      </c>
      <c r="B40" s="124">
        <v>0</v>
      </c>
      <c r="C40" s="125" t="s">
        <v>93</v>
      </c>
      <c r="D40" s="125" t="s">
        <v>1927</v>
      </c>
      <c r="E40" s="126" t="s">
        <v>2139</v>
      </c>
      <c r="F40" s="125" t="s">
        <v>2187</v>
      </c>
      <c r="G40" s="125" t="s">
        <v>277</v>
      </c>
      <c r="H40" s="125" t="s">
        <v>278</v>
      </c>
      <c r="I40" s="125" t="s">
        <v>2320</v>
      </c>
      <c r="J40" s="127"/>
      <c r="K40" s="124">
        <v>1</v>
      </c>
      <c r="L40" s="124" t="s">
        <v>605</v>
      </c>
      <c r="M40" s="125" t="s">
        <v>91</v>
      </c>
      <c r="N40" s="123" t="s">
        <v>45</v>
      </c>
      <c r="O40" s="123"/>
    </row>
    <row r="41" spans="1:15" x14ac:dyDescent="0.25">
      <c r="A41" s="118" t="s">
        <v>52</v>
      </c>
      <c r="B41" s="119">
        <v>0</v>
      </c>
      <c r="C41" s="73" t="s">
        <v>6723</v>
      </c>
      <c r="D41" s="73" t="s">
        <v>6725</v>
      </c>
      <c r="E41" s="74"/>
      <c r="F41" s="73"/>
      <c r="G41" s="73"/>
      <c r="H41" s="73"/>
      <c r="I41" s="73"/>
      <c r="J41" s="120"/>
      <c r="K41" s="119">
        <v>1</v>
      </c>
      <c r="L41" s="119" t="s">
        <v>605</v>
      </c>
      <c r="M41" s="73" t="s">
        <v>91</v>
      </c>
      <c r="N41" s="118" t="s">
        <v>45</v>
      </c>
      <c r="O41" t="s">
        <v>6721</v>
      </c>
    </row>
    <row r="42" spans="1:15" x14ac:dyDescent="0.25">
      <c r="A42" s="118" t="s">
        <v>52</v>
      </c>
      <c r="B42" s="119">
        <v>1</v>
      </c>
      <c r="C42" s="73" t="s">
        <v>6722</v>
      </c>
      <c r="D42" s="73" t="s">
        <v>6724</v>
      </c>
      <c r="E42" s="74"/>
      <c r="F42" s="73"/>
      <c r="G42" s="73"/>
      <c r="H42" s="73"/>
      <c r="I42" s="73"/>
      <c r="J42" s="120"/>
      <c r="K42" s="119">
        <v>1</v>
      </c>
      <c r="L42" s="119" t="s">
        <v>605</v>
      </c>
      <c r="M42" s="73" t="s">
        <v>91</v>
      </c>
      <c r="N42" s="118" t="s">
        <v>45</v>
      </c>
      <c r="O42" t="s">
        <v>6721</v>
      </c>
    </row>
    <row r="43" spans="1:15" x14ac:dyDescent="0.25">
      <c r="A43" t="s">
        <v>52</v>
      </c>
      <c r="B43" s="84">
        <v>2</v>
      </c>
      <c r="C43" s="61" t="s">
        <v>110</v>
      </c>
      <c r="D43" s="61" t="s">
        <v>1926</v>
      </c>
      <c r="E43" s="77" t="s">
        <v>1526</v>
      </c>
      <c r="F43" s="61" t="s">
        <v>2155</v>
      </c>
      <c r="G43" s="61" t="s">
        <v>308</v>
      </c>
      <c r="H43" s="62" t="s">
        <v>292</v>
      </c>
      <c r="I43" s="62" t="s">
        <v>2331</v>
      </c>
      <c r="J43" s="63"/>
      <c r="K43" s="84">
        <v>1</v>
      </c>
      <c r="L43" s="84" t="s">
        <v>605</v>
      </c>
      <c r="M43" s="61" t="s">
        <v>100</v>
      </c>
      <c r="N43" t="s">
        <v>45</v>
      </c>
    </row>
    <row r="44" spans="1:15" x14ac:dyDescent="0.25">
      <c r="A44" t="s">
        <v>52</v>
      </c>
      <c r="B44" s="84">
        <v>3</v>
      </c>
      <c r="C44" s="61" t="s">
        <v>114</v>
      </c>
      <c r="D44" s="62" t="s">
        <v>2510</v>
      </c>
      <c r="E44" s="77" t="s">
        <v>1529</v>
      </c>
      <c r="F44" s="61" t="s">
        <v>2509</v>
      </c>
      <c r="G44" s="61" t="s">
        <v>315</v>
      </c>
      <c r="H44" s="61" t="s">
        <v>2507</v>
      </c>
      <c r="I44" s="61" t="s">
        <v>2508</v>
      </c>
      <c r="J44" s="63"/>
      <c r="K44" s="84">
        <v>0</v>
      </c>
      <c r="L44" s="85">
        <v>0</v>
      </c>
      <c r="M44" s="61" t="s">
        <v>91</v>
      </c>
      <c r="N44" t="s">
        <v>45</v>
      </c>
    </row>
    <row r="45" spans="1:15" x14ac:dyDescent="0.25">
      <c r="A45" t="s">
        <v>52</v>
      </c>
      <c r="B45" s="84">
        <v>4</v>
      </c>
      <c r="C45" s="106" t="s">
        <v>111</v>
      </c>
      <c r="D45" s="61" t="s">
        <v>1931</v>
      </c>
      <c r="E45" s="77" t="s">
        <v>1527</v>
      </c>
      <c r="F45" s="61" t="s">
        <v>2164</v>
      </c>
      <c r="G45" s="61" t="s">
        <v>309</v>
      </c>
      <c r="H45" s="61" t="s">
        <v>310</v>
      </c>
      <c r="I45" s="61" t="s">
        <v>2335</v>
      </c>
      <c r="J45" s="63"/>
      <c r="K45" s="84">
        <v>0</v>
      </c>
      <c r="L45" s="84">
        <v>0</v>
      </c>
      <c r="M45" s="61" t="s">
        <v>91</v>
      </c>
      <c r="N45" t="s">
        <v>45</v>
      </c>
    </row>
    <row r="46" spans="1:15" x14ac:dyDescent="0.25">
      <c r="A46" t="s">
        <v>52</v>
      </c>
      <c r="B46" s="84">
        <v>5</v>
      </c>
      <c r="C46" s="61" t="s">
        <v>113</v>
      </c>
      <c r="D46" s="61" t="s">
        <v>1933</v>
      </c>
      <c r="E46" s="77" t="s">
        <v>1528</v>
      </c>
      <c r="F46" s="61" t="s">
        <v>2158</v>
      </c>
      <c r="G46" s="61" t="s">
        <v>313</v>
      </c>
      <c r="H46" s="61" t="s">
        <v>314</v>
      </c>
      <c r="I46" s="61" t="s">
        <v>2337</v>
      </c>
      <c r="J46" s="63"/>
      <c r="K46" s="84">
        <v>0</v>
      </c>
      <c r="L46" s="85">
        <v>0</v>
      </c>
      <c r="M46" s="61" t="s">
        <v>91</v>
      </c>
      <c r="N46" t="s">
        <v>45</v>
      </c>
    </row>
    <row r="47" spans="1:15" x14ac:dyDescent="0.25">
      <c r="A47" t="s">
        <v>52</v>
      </c>
      <c r="B47" s="84">
        <v>6</v>
      </c>
      <c r="C47" s="61" t="s">
        <v>112</v>
      </c>
      <c r="D47" s="61" t="s">
        <v>1932</v>
      </c>
      <c r="E47" s="77"/>
      <c r="F47" s="61" t="s">
        <v>1932</v>
      </c>
      <c r="G47" s="61" t="s">
        <v>311</v>
      </c>
      <c r="H47" s="61" t="s">
        <v>312</v>
      </c>
      <c r="I47" s="61" t="s">
        <v>2336</v>
      </c>
      <c r="J47" s="63"/>
      <c r="K47" s="84">
        <v>0</v>
      </c>
      <c r="L47" s="85">
        <v>0</v>
      </c>
      <c r="M47" s="61" t="s">
        <v>91</v>
      </c>
      <c r="N47" t="s">
        <v>45</v>
      </c>
    </row>
    <row r="48" spans="1:15" x14ac:dyDescent="0.25">
      <c r="A48" t="s">
        <v>52</v>
      </c>
      <c r="B48" s="84">
        <v>7</v>
      </c>
      <c r="C48" s="62" t="s">
        <v>115</v>
      </c>
      <c r="D48" s="62" t="s">
        <v>1934</v>
      </c>
      <c r="E48" s="69" t="s">
        <v>1530</v>
      </c>
      <c r="F48" s="62" t="s">
        <v>1934</v>
      </c>
      <c r="G48" s="62" t="s">
        <v>316</v>
      </c>
      <c r="H48" s="62" t="s">
        <v>317</v>
      </c>
      <c r="I48" s="62" t="s">
        <v>2338</v>
      </c>
      <c r="J48" s="64"/>
      <c r="K48" s="86">
        <v>0</v>
      </c>
      <c r="L48" s="90">
        <v>0</v>
      </c>
      <c r="M48" s="62" t="s">
        <v>91</v>
      </c>
      <c r="N48" t="s">
        <v>45</v>
      </c>
    </row>
    <row r="49" spans="1:14" x14ac:dyDescent="0.25">
      <c r="A49" t="s">
        <v>6914</v>
      </c>
      <c r="B49" s="116">
        <v>-99</v>
      </c>
      <c r="C49" s="63" t="s">
        <v>2776</v>
      </c>
      <c r="D49" s="57" t="s">
        <v>6651</v>
      </c>
      <c r="E49" s="63"/>
      <c r="F49" s="63" t="s">
        <v>3408</v>
      </c>
      <c r="G49" s="63" t="s">
        <v>3208</v>
      </c>
      <c r="H49" s="57" t="s">
        <v>2979</v>
      </c>
      <c r="I49" s="63"/>
      <c r="J49" s="63" t="s">
        <v>3440</v>
      </c>
      <c r="K49" s="85">
        <v>0</v>
      </c>
      <c r="L49" s="85">
        <v>0</v>
      </c>
      <c r="M49" s="57" t="s">
        <v>92</v>
      </c>
      <c r="N49" t="s">
        <v>54</v>
      </c>
    </row>
    <row r="50" spans="1:14" x14ac:dyDescent="0.25">
      <c r="A50" t="s">
        <v>6914</v>
      </c>
      <c r="B50" s="116">
        <v>-99</v>
      </c>
      <c r="C50" s="63" t="s">
        <v>2788</v>
      </c>
      <c r="D50" s="57" t="s">
        <v>6657</v>
      </c>
      <c r="E50" s="63"/>
      <c r="F50" s="63" t="s">
        <v>3413</v>
      </c>
      <c r="G50" s="63" t="s">
        <v>3220</v>
      </c>
      <c r="H50" s="57" t="s">
        <v>2991</v>
      </c>
      <c r="I50" s="63"/>
      <c r="J50" s="63" t="s">
        <v>3440</v>
      </c>
      <c r="K50" s="85">
        <v>0</v>
      </c>
      <c r="L50" s="85">
        <v>0</v>
      </c>
      <c r="M50" s="57" t="s">
        <v>92</v>
      </c>
      <c r="N50" t="s">
        <v>54</v>
      </c>
    </row>
    <row r="51" spans="1:14" x14ac:dyDescent="0.25">
      <c r="A51" t="s">
        <v>6914</v>
      </c>
      <c r="B51" s="116">
        <v>-99</v>
      </c>
      <c r="C51" s="63" t="s">
        <v>2778</v>
      </c>
      <c r="D51" s="57" t="s">
        <v>6652</v>
      </c>
      <c r="E51" s="63"/>
      <c r="F51" s="63" t="s">
        <v>3409</v>
      </c>
      <c r="G51" s="63" t="s">
        <v>3210</v>
      </c>
      <c r="H51" s="57" t="s">
        <v>2981</v>
      </c>
      <c r="I51" s="63"/>
      <c r="J51" s="63" t="s">
        <v>3440</v>
      </c>
      <c r="K51" s="85">
        <v>0</v>
      </c>
      <c r="L51" s="85">
        <v>0</v>
      </c>
      <c r="M51" s="57" t="s">
        <v>92</v>
      </c>
      <c r="N51" t="s">
        <v>54</v>
      </c>
    </row>
    <row r="52" spans="1:14" x14ac:dyDescent="0.25">
      <c r="A52" t="s">
        <v>6914</v>
      </c>
      <c r="B52" s="116">
        <v>-99</v>
      </c>
      <c r="C52" s="63" t="s">
        <v>2780</v>
      </c>
      <c r="D52" s="57" t="s">
        <v>6653</v>
      </c>
      <c r="E52" s="63"/>
      <c r="F52" s="63" t="s">
        <v>3410</v>
      </c>
      <c r="G52" s="63" t="s">
        <v>3212</v>
      </c>
      <c r="H52" s="57" t="s">
        <v>2983</v>
      </c>
      <c r="I52" s="63"/>
      <c r="J52" s="63" t="s">
        <v>3440</v>
      </c>
      <c r="K52" s="85">
        <v>0</v>
      </c>
      <c r="L52" s="85">
        <v>0</v>
      </c>
      <c r="M52" s="57" t="s">
        <v>92</v>
      </c>
      <c r="N52" t="s">
        <v>54</v>
      </c>
    </row>
    <row r="53" spans="1:14" x14ac:dyDescent="0.25">
      <c r="A53" t="s">
        <v>6914</v>
      </c>
      <c r="B53" s="116">
        <v>-99</v>
      </c>
      <c r="C53" s="63" t="s">
        <v>2782</v>
      </c>
      <c r="D53" s="57" t="s">
        <v>6654</v>
      </c>
      <c r="E53" s="63"/>
      <c r="F53" s="63" t="s">
        <v>3411</v>
      </c>
      <c r="G53" s="63" t="s">
        <v>3214</v>
      </c>
      <c r="H53" s="57" t="s">
        <v>2985</v>
      </c>
      <c r="I53" s="63"/>
      <c r="J53" s="63" t="s">
        <v>3440</v>
      </c>
      <c r="K53" s="85">
        <v>0</v>
      </c>
      <c r="L53" s="85">
        <v>0</v>
      </c>
      <c r="M53" s="57" t="s">
        <v>92</v>
      </c>
      <c r="N53" t="s">
        <v>54</v>
      </c>
    </row>
    <row r="54" spans="1:14" x14ac:dyDescent="0.25">
      <c r="A54" t="s">
        <v>6914</v>
      </c>
      <c r="B54" s="116">
        <v>-99</v>
      </c>
      <c r="C54" s="63" t="s">
        <v>2787</v>
      </c>
      <c r="D54" s="57" t="s">
        <v>6661</v>
      </c>
      <c r="E54" s="63"/>
      <c r="F54" s="63" t="s">
        <v>3415</v>
      </c>
      <c r="G54" s="63" t="s">
        <v>3219</v>
      </c>
      <c r="H54" s="57" t="s">
        <v>2990</v>
      </c>
      <c r="I54" s="63"/>
      <c r="J54" s="63"/>
      <c r="K54" s="85">
        <v>0</v>
      </c>
      <c r="L54" s="85">
        <v>0</v>
      </c>
      <c r="M54" s="57" t="s">
        <v>3011</v>
      </c>
      <c r="N54" t="s">
        <v>54</v>
      </c>
    </row>
    <row r="55" spans="1:14" x14ac:dyDescent="0.25">
      <c r="A55" t="s">
        <v>6914</v>
      </c>
      <c r="B55" s="116">
        <v>-99</v>
      </c>
      <c r="C55" s="63" t="s">
        <v>2786</v>
      </c>
      <c r="D55" s="57" t="s">
        <v>6656</v>
      </c>
      <c r="E55" s="63"/>
      <c r="F55" s="63" t="s">
        <v>3414</v>
      </c>
      <c r="G55" s="63" t="s">
        <v>3218</v>
      </c>
      <c r="H55" s="57" t="s">
        <v>2989</v>
      </c>
      <c r="I55" s="63"/>
      <c r="J55" s="63" t="s">
        <v>3440</v>
      </c>
      <c r="K55" s="85">
        <v>0</v>
      </c>
      <c r="L55" s="85">
        <v>0</v>
      </c>
      <c r="M55" s="57" t="s">
        <v>92</v>
      </c>
      <c r="N55" t="s">
        <v>54</v>
      </c>
    </row>
    <row r="56" spans="1:14" x14ac:dyDescent="0.25">
      <c r="A56" t="s">
        <v>6914</v>
      </c>
      <c r="B56" s="116">
        <v>-99</v>
      </c>
      <c r="C56" s="63" t="s">
        <v>2784</v>
      </c>
      <c r="D56" s="57" t="s">
        <v>6655</v>
      </c>
      <c r="E56" s="63"/>
      <c r="F56" s="63" t="s">
        <v>3412</v>
      </c>
      <c r="G56" s="63" t="s">
        <v>3216</v>
      </c>
      <c r="H56" s="57" t="s">
        <v>2987</v>
      </c>
      <c r="I56" s="63"/>
      <c r="J56" s="63" t="s">
        <v>3440</v>
      </c>
      <c r="K56" s="85">
        <v>0</v>
      </c>
      <c r="L56" s="85">
        <v>0</v>
      </c>
      <c r="M56" s="57" t="s">
        <v>92</v>
      </c>
      <c r="N56" t="s">
        <v>54</v>
      </c>
    </row>
    <row r="57" spans="1:14" x14ac:dyDescent="0.25">
      <c r="A57" t="s">
        <v>6914</v>
      </c>
      <c r="B57" s="116">
        <v>-99</v>
      </c>
      <c r="C57" s="63" t="s">
        <v>2790</v>
      </c>
      <c r="D57" s="57" t="s">
        <v>6658</v>
      </c>
      <c r="E57" s="63"/>
      <c r="F57" s="63" t="s">
        <v>3416</v>
      </c>
      <c r="G57" s="63" t="s">
        <v>3222</v>
      </c>
      <c r="H57" s="57" t="s">
        <v>2993</v>
      </c>
      <c r="I57" s="63"/>
      <c r="J57" s="63" t="s">
        <v>3440</v>
      </c>
      <c r="K57" s="85">
        <v>0</v>
      </c>
      <c r="L57" s="85">
        <v>0</v>
      </c>
      <c r="M57" s="57" t="s">
        <v>92</v>
      </c>
      <c r="N57" t="s">
        <v>54</v>
      </c>
    </row>
    <row r="58" spans="1:14" x14ac:dyDescent="0.25">
      <c r="A58" t="s">
        <v>6914</v>
      </c>
      <c r="B58" s="116">
        <v>-99</v>
      </c>
      <c r="C58" s="63" t="s">
        <v>2777</v>
      </c>
      <c r="D58" s="57" t="s">
        <v>6666</v>
      </c>
      <c r="E58" s="63"/>
      <c r="F58" s="63" t="s">
        <v>3407</v>
      </c>
      <c r="G58" s="63" t="s">
        <v>3209</v>
      </c>
      <c r="H58" s="57" t="s">
        <v>2980</v>
      </c>
      <c r="I58" s="63"/>
      <c r="J58" s="63"/>
      <c r="K58" s="85">
        <v>0</v>
      </c>
      <c r="L58" s="85">
        <v>0</v>
      </c>
      <c r="M58" s="57" t="s">
        <v>3022</v>
      </c>
      <c r="N58" t="s">
        <v>54</v>
      </c>
    </row>
    <row r="59" spans="1:14" x14ac:dyDescent="0.25">
      <c r="A59" t="s">
        <v>6914</v>
      </c>
      <c r="B59" s="116">
        <v>-99</v>
      </c>
      <c r="C59" s="63" t="s">
        <v>2789</v>
      </c>
      <c r="D59" s="57" t="s">
        <v>6660</v>
      </c>
      <c r="E59" s="63"/>
      <c r="F59" s="63" t="s">
        <v>3418</v>
      </c>
      <c r="G59" s="63" t="s">
        <v>3221</v>
      </c>
      <c r="H59" s="57" t="s">
        <v>2992</v>
      </c>
      <c r="I59" s="63"/>
      <c r="J59" s="63"/>
      <c r="K59" s="85">
        <v>0</v>
      </c>
      <c r="L59" s="85">
        <v>0</v>
      </c>
      <c r="M59" s="57" t="s">
        <v>235</v>
      </c>
      <c r="N59" t="s">
        <v>54</v>
      </c>
    </row>
    <row r="60" spans="1:14" x14ac:dyDescent="0.25">
      <c r="A60" t="s">
        <v>6914</v>
      </c>
      <c r="B60" s="116">
        <v>-99</v>
      </c>
      <c r="C60" s="63" t="s">
        <v>2781</v>
      </c>
      <c r="D60" s="57" t="s">
        <v>6664</v>
      </c>
      <c r="E60" s="63"/>
      <c r="F60" s="63" t="s">
        <v>3405</v>
      </c>
      <c r="G60" s="63" t="s">
        <v>3213</v>
      </c>
      <c r="H60" s="57" t="s">
        <v>2984</v>
      </c>
      <c r="I60" s="63"/>
      <c r="J60" s="63"/>
      <c r="K60" s="85">
        <v>0</v>
      </c>
      <c r="L60" s="85">
        <v>0</v>
      </c>
      <c r="M60" s="57" t="s">
        <v>235</v>
      </c>
      <c r="N60" t="s">
        <v>54</v>
      </c>
    </row>
    <row r="61" spans="1:14" x14ac:dyDescent="0.25">
      <c r="A61" t="s">
        <v>6914</v>
      </c>
      <c r="B61" s="116">
        <v>-99</v>
      </c>
      <c r="C61" s="63" t="s">
        <v>2783</v>
      </c>
      <c r="D61" s="57" t="s">
        <v>6663</v>
      </c>
      <c r="E61" s="63"/>
      <c r="F61" s="63" t="s">
        <v>3404</v>
      </c>
      <c r="G61" s="63" t="s">
        <v>3215</v>
      </c>
      <c r="H61" s="57" t="s">
        <v>2986</v>
      </c>
      <c r="I61" s="63"/>
      <c r="J61" s="63"/>
      <c r="K61" s="85">
        <v>0</v>
      </c>
      <c r="L61" s="85">
        <v>0</v>
      </c>
      <c r="M61" s="57" t="s">
        <v>235</v>
      </c>
      <c r="N61" t="s">
        <v>54</v>
      </c>
    </row>
    <row r="62" spans="1:14" x14ac:dyDescent="0.25">
      <c r="A62" t="s">
        <v>6914</v>
      </c>
      <c r="B62" s="116">
        <v>-99</v>
      </c>
      <c r="C62" s="63" t="s">
        <v>2785</v>
      </c>
      <c r="D62" s="57" t="s">
        <v>6662</v>
      </c>
      <c r="E62" s="63"/>
      <c r="F62" s="63" t="s">
        <v>3403</v>
      </c>
      <c r="G62" s="63" t="s">
        <v>3217</v>
      </c>
      <c r="H62" s="57" t="s">
        <v>2988</v>
      </c>
      <c r="I62" s="63"/>
      <c r="J62" s="63"/>
      <c r="K62" s="85">
        <v>0</v>
      </c>
      <c r="L62" s="85">
        <v>0</v>
      </c>
      <c r="M62" s="57" t="s">
        <v>165</v>
      </c>
      <c r="N62" t="s">
        <v>54</v>
      </c>
    </row>
    <row r="63" spans="1:14" x14ac:dyDescent="0.25">
      <c r="A63" t="s">
        <v>6914</v>
      </c>
      <c r="B63" s="116">
        <v>-99</v>
      </c>
      <c r="C63" s="63" t="s">
        <v>2779</v>
      </c>
      <c r="D63" s="57" t="s">
        <v>6665</v>
      </c>
      <c r="E63" s="63"/>
      <c r="F63" s="63" t="s">
        <v>3406</v>
      </c>
      <c r="G63" s="63" t="s">
        <v>3211</v>
      </c>
      <c r="H63" s="57" t="s">
        <v>2982</v>
      </c>
      <c r="I63" s="63"/>
      <c r="J63" s="63"/>
      <c r="K63" s="85">
        <v>0</v>
      </c>
      <c r="L63" s="85">
        <v>0</v>
      </c>
      <c r="M63" s="57" t="s">
        <v>249</v>
      </c>
      <c r="N63" t="s">
        <v>54</v>
      </c>
    </row>
    <row r="64" spans="1:14" x14ac:dyDescent="0.25">
      <c r="A64" t="s">
        <v>6914</v>
      </c>
      <c r="B64" s="116">
        <v>-99</v>
      </c>
      <c r="C64" s="63" t="s">
        <v>2791</v>
      </c>
      <c r="D64" s="57" t="s">
        <v>6659</v>
      </c>
      <c r="E64" s="63"/>
      <c r="F64" s="63" t="s">
        <v>3417</v>
      </c>
      <c r="G64" s="63" t="s">
        <v>3223</v>
      </c>
      <c r="H64" s="57" t="s">
        <v>2994</v>
      </c>
      <c r="I64" s="63"/>
      <c r="J64" s="63"/>
      <c r="K64" s="85">
        <v>0</v>
      </c>
      <c r="L64" s="85">
        <v>0</v>
      </c>
      <c r="M64" s="57" t="s">
        <v>250</v>
      </c>
      <c r="N64" t="s">
        <v>54</v>
      </c>
    </row>
    <row r="65" spans="1:15" x14ac:dyDescent="0.25">
      <c r="A65" s="145" t="s">
        <v>6914</v>
      </c>
      <c r="B65" s="116">
        <v>-99</v>
      </c>
      <c r="C65" s="91" t="s">
        <v>2775</v>
      </c>
      <c r="E65" s="91"/>
      <c r="G65" s="91" t="s">
        <v>3207</v>
      </c>
      <c r="H65" s="91" t="s">
        <v>2977</v>
      </c>
      <c r="J65" s="91"/>
      <c r="K65" s="136"/>
      <c r="L65" s="136"/>
      <c r="M65" s="91" t="s">
        <v>3009</v>
      </c>
      <c r="N65" s="138" t="s">
        <v>54</v>
      </c>
      <c r="O65" s="92"/>
    </row>
    <row r="66" spans="1:15" x14ac:dyDescent="0.25">
      <c r="A66" s="145" t="s">
        <v>6914</v>
      </c>
      <c r="B66" s="116">
        <v>-99</v>
      </c>
      <c r="C66" s="91" t="s">
        <v>2774</v>
      </c>
      <c r="E66" s="91"/>
      <c r="G66" s="91" t="s">
        <v>3206</v>
      </c>
      <c r="H66" s="91" t="s">
        <v>2978</v>
      </c>
      <c r="J66" s="91"/>
      <c r="K66" s="136"/>
      <c r="L66" s="136"/>
      <c r="M66" s="91" t="s">
        <v>3004</v>
      </c>
      <c r="N66" s="138" t="s">
        <v>54</v>
      </c>
      <c r="O66" s="92"/>
    </row>
    <row r="67" spans="1:15" x14ac:dyDescent="0.25">
      <c r="A67" s="145" t="s">
        <v>6914</v>
      </c>
      <c r="B67" s="116">
        <v>-99</v>
      </c>
      <c r="C67" s="91" t="s">
        <v>128</v>
      </c>
      <c r="E67" s="91"/>
      <c r="G67" s="91" t="s">
        <v>342</v>
      </c>
      <c r="H67" s="91" t="s">
        <v>6915</v>
      </c>
      <c r="J67" s="91"/>
      <c r="K67" s="136"/>
      <c r="L67" s="136"/>
      <c r="M67" s="91" t="s">
        <v>100</v>
      </c>
      <c r="N67" s="138" t="s">
        <v>54</v>
      </c>
      <c r="O67" s="92"/>
    </row>
    <row r="68" spans="1:15" x14ac:dyDescent="0.25">
      <c r="A68" s="145" t="s">
        <v>6914</v>
      </c>
      <c r="B68" s="116">
        <v>-99</v>
      </c>
      <c r="C68" s="91" t="s">
        <v>292</v>
      </c>
      <c r="E68" s="91"/>
      <c r="G68" s="91" t="s">
        <v>292</v>
      </c>
      <c r="H68" s="91" t="s">
        <v>292</v>
      </c>
      <c r="J68" s="91"/>
      <c r="K68" s="136"/>
      <c r="L68" s="136"/>
      <c r="M68" s="92"/>
      <c r="N68" s="138" t="s">
        <v>54</v>
      </c>
      <c r="O68" s="92"/>
    </row>
    <row r="69" spans="1:15" x14ac:dyDescent="0.25">
      <c r="A69" s="144" t="s">
        <v>2802</v>
      </c>
      <c r="B69" s="141">
        <v>-99</v>
      </c>
      <c r="C69" s="91" t="s">
        <v>292</v>
      </c>
      <c r="E69" s="91"/>
      <c r="G69" s="91" t="s">
        <v>292</v>
      </c>
      <c r="H69" s="91" t="s">
        <v>292</v>
      </c>
      <c r="J69" s="91"/>
      <c r="K69" s="136"/>
      <c r="L69" s="136"/>
      <c r="M69" s="92"/>
      <c r="N69" s="138" t="s">
        <v>54</v>
      </c>
      <c r="O69" s="92"/>
    </row>
    <row r="70" spans="1:15" x14ac:dyDescent="0.25">
      <c r="A70" s="123" t="s">
        <v>2802</v>
      </c>
      <c r="B70" s="124">
        <v>0</v>
      </c>
      <c r="C70" s="125" t="s">
        <v>93</v>
      </c>
      <c r="D70" s="125" t="s">
        <v>1927</v>
      </c>
      <c r="E70" s="126" t="s">
        <v>2139</v>
      </c>
      <c r="F70" s="125" t="s">
        <v>2187</v>
      </c>
      <c r="G70" s="125" t="s">
        <v>277</v>
      </c>
      <c r="H70" s="125" t="s">
        <v>278</v>
      </c>
      <c r="I70" s="125" t="s">
        <v>2320</v>
      </c>
      <c r="J70" s="127"/>
      <c r="K70" s="124">
        <v>1</v>
      </c>
      <c r="L70" s="124" t="s">
        <v>605</v>
      </c>
      <c r="M70" s="125" t="s">
        <v>91</v>
      </c>
      <c r="N70" s="123" t="s">
        <v>54</v>
      </c>
      <c r="O70" s="123"/>
    </row>
    <row r="71" spans="1:15" x14ac:dyDescent="0.25">
      <c r="A71" t="s">
        <v>2802</v>
      </c>
      <c r="B71" s="85">
        <v>1</v>
      </c>
      <c r="C71" s="66" t="s">
        <v>128</v>
      </c>
      <c r="D71" s="61" t="s">
        <v>1926</v>
      </c>
      <c r="E71" s="61" t="s">
        <v>3419</v>
      </c>
      <c r="F71" s="61" t="s">
        <v>2155</v>
      </c>
      <c r="G71" s="61"/>
      <c r="H71" s="61"/>
      <c r="I71" s="61"/>
      <c r="J71" s="63"/>
      <c r="K71" s="85">
        <v>1</v>
      </c>
      <c r="L71" s="85" t="s">
        <v>605</v>
      </c>
      <c r="M71" s="61"/>
      <c r="N71" t="s">
        <v>54</v>
      </c>
    </row>
    <row r="72" spans="1:15" x14ac:dyDescent="0.25">
      <c r="A72" t="s">
        <v>2802</v>
      </c>
      <c r="B72" s="85">
        <v>2</v>
      </c>
      <c r="C72" s="105" t="s">
        <v>2771</v>
      </c>
      <c r="D72" s="61" t="s">
        <v>6459</v>
      </c>
      <c r="E72" s="63"/>
      <c r="F72" s="61" t="s">
        <v>2183</v>
      </c>
      <c r="G72" s="63" t="s">
        <v>3203</v>
      </c>
      <c r="H72" s="57" t="s">
        <v>2975</v>
      </c>
      <c r="I72" s="63"/>
      <c r="J72" s="63"/>
      <c r="K72" s="85">
        <v>0</v>
      </c>
      <c r="L72" s="85" t="s">
        <v>605</v>
      </c>
      <c r="M72" s="57" t="s">
        <v>91</v>
      </c>
      <c r="N72" t="s">
        <v>54</v>
      </c>
    </row>
    <row r="73" spans="1:15" x14ac:dyDescent="0.25">
      <c r="A73" s="146" t="s">
        <v>2802</v>
      </c>
      <c r="B73" s="116">
        <v>3</v>
      </c>
      <c r="C73" s="63" t="s">
        <v>2772</v>
      </c>
      <c r="D73" s="57" t="s">
        <v>1899</v>
      </c>
      <c r="E73" s="63"/>
      <c r="F73" s="61" t="s">
        <v>2181</v>
      </c>
      <c r="G73" s="63" t="s">
        <v>3204</v>
      </c>
      <c r="H73" s="57" t="s">
        <v>2976</v>
      </c>
      <c r="I73" s="63"/>
      <c r="J73" s="63"/>
      <c r="K73" s="85">
        <v>0</v>
      </c>
      <c r="L73" s="85">
        <v>0</v>
      </c>
      <c r="M73" s="57" t="s">
        <v>91</v>
      </c>
      <c r="N73" t="s">
        <v>54</v>
      </c>
    </row>
    <row r="74" spans="1:15" x14ac:dyDescent="0.25">
      <c r="A74" t="s">
        <v>2802</v>
      </c>
      <c r="B74" s="85">
        <v>3</v>
      </c>
      <c r="C74" s="63" t="s">
        <v>2773</v>
      </c>
      <c r="D74" s="57" t="s">
        <v>2063</v>
      </c>
      <c r="E74" s="63"/>
      <c r="F74" s="61" t="s">
        <v>2182</v>
      </c>
      <c r="G74" s="63" t="s">
        <v>3205</v>
      </c>
      <c r="H74" s="57" t="s">
        <v>2977</v>
      </c>
      <c r="I74" s="63"/>
      <c r="J74" s="63"/>
      <c r="K74" s="85">
        <v>0</v>
      </c>
      <c r="L74" s="85" t="s">
        <v>605</v>
      </c>
      <c r="M74" s="57" t="s">
        <v>153</v>
      </c>
      <c r="N74" t="s">
        <v>54</v>
      </c>
    </row>
    <row r="75" spans="1:15" x14ac:dyDescent="0.25">
      <c r="A75" s="118" t="s">
        <v>2802</v>
      </c>
      <c r="B75" s="121">
        <v>4</v>
      </c>
      <c r="C75" s="120" t="s">
        <v>6726</v>
      </c>
      <c r="D75" s="74" t="s">
        <v>6728</v>
      </c>
      <c r="E75" s="120"/>
      <c r="F75" s="73"/>
      <c r="G75" s="120"/>
      <c r="H75" s="74"/>
      <c r="I75" s="120"/>
      <c r="J75" s="120"/>
      <c r="K75" s="121"/>
      <c r="L75" s="121"/>
      <c r="M75" s="74"/>
      <c r="N75" s="118"/>
      <c r="O75" s="118"/>
    </row>
    <row r="76" spans="1:15" x14ac:dyDescent="0.25">
      <c r="A76" s="118" t="s">
        <v>2802</v>
      </c>
      <c r="B76" s="121">
        <v>5</v>
      </c>
      <c r="C76" s="120" t="s">
        <v>6730</v>
      </c>
      <c r="D76" s="74" t="s">
        <v>6729</v>
      </c>
      <c r="E76" s="120"/>
      <c r="F76" s="73"/>
      <c r="G76" s="120"/>
      <c r="H76" s="74"/>
      <c r="I76" s="120"/>
      <c r="J76" s="120"/>
      <c r="K76" s="121"/>
      <c r="L76" s="121"/>
      <c r="M76" s="74"/>
      <c r="N76" s="118"/>
      <c r="O76" s="118"/>
    </row>
    <row r="77" spans="1:15" x14ac:dyDescent="0.25">
      <c r="A77" s="118" t="s">
        <v>2802</v>
      </c>
      <c r="B77" s="121">
        <v>6</v>
      </c>
      <c r="C77" s="120" t="s">
        <v>6727</v>
      </c>
      <c r="D77" s="74" t="s">
        <v>6732</v>
      </c>
      <c r="E77" s="120"/>
      <c r="F77" s="73"/>
      <c r="G77" s="120"/>
      <c r="H77" s="74"/>
      <c r="I77" s="120"/>
      <c r="J77" s="120"/>
      <c r="K77" s="121"/>
      <c r="L77" s="121"/>
      <c r="M77" s="74"/>
      <c r="N77" s="118"/>
      <c r="O77" s="118"/>
    </row>
    <row r="78" spans="1:15" x14ac:dyDescent="0.25">
      <c r="A78" s="118" t="s">
        <v>2802</v>
      </c>
      <c r="B78" s="121">
        <v>7</v>
      </c>
      <c r="C78" s="120" t="s">
        <v>6731</v>
      </c>
      <c r="D78" s="118" t="s">
        <v>6733</v>
      </c>
      <c r="E78" s="120"/>
      <c r="F78" s="73"/>
      <c r="G78" s="120"/>
      <c r="H78" s="74"/>
      <c r="I78" s="120"/>
      <c r="J78" s="120"/>
      <c r="K78" s="121"/>
      <c r="L78" s="121"/>
      <c r="M78" s="74"/>
      <c r="N78" s="118"/>
      <c r="O78" s="118"/>
    </row>
    <row r="79" spans="1:15" x14ac:dyDescent="0.25">
      <c r="A79" s="143" t="s">
        <v>2800</v>
      </c>
      <c r="B79" s="116">
        <v>0</v>
      </c>
      <c r="C79" s="63" t="s">
        <v>2694</v>
      </c>
      <c r="D79" s="57"/>
      <c r="E79" s="63"/>
      <c r="F79" s="63"/>
      <c r="G79" s="63" t="s">
        <v>3120</v>
      </c>
      <c r="H79" s="57" t="s">
        <v>2898</v>
      </c>
      <c r="I79" s="63"/>
      <c r="J79" s="63"/>
      <c r="K79" s="85">
        <v>0</v>
      </c>
      <c r="L79" s="85">
        <v>0</v>
      </c>
      <c r="M79" s="57" t="s">
        <v>92</v>
      </c>
      <c r="N79" t="s">
        <v>54</v>
      </c>
    </row>
    <row r="80" spans="1:15" x14ac:dyDescent="0.25">
      <c r="A80" s="143" t="s">
        <v>2800</v>
      </c>
      <c r="B80" s="116">
        <v>1</v>
      </c>
      <c r="C80" s="63" t="s">
        <v>2696</v>
      </c>
      <c r="D80" s="63"/>
      <c r="E80" s="63"/>
      <c r="F80" s="61" t="s">
        <v>2181</v>
      </c>
      <c r="G80" s="63" t="s">
        <v>3122</v>
      </c>
      <c r="H80" s="57" t="s">
        <v>2900</v>
      </c>
      <c r="I80" s="63"/>
      <c r="J80" s="63"/>
      <c r="K80" s="85">
        <v>0</v>
      </c>
      <c r="L80" s="85">
        <v>0</v>
      </c>
      <c r="M80" s="60" t="s">
        <v>91</v>
      </c>
      <c r="N80" t="s">
        <v>54</v>
      </c>
    </row>
    <row r="81" spans="1:14" x14ac:dyDescent="0.25">
      <c r="A81" s="143" t="s">
        <v>2800</v>
      </c>
      <c r="B81" s="116">
        <v>2</v>
      </c>
      <c r="C81" s="63" t="s">
        <v>2695</v>
      </c>
      <c r="D81" s="57"/>
      <c r="E81" s="63"/>
      <c r="F81" s="63"/>
      <c r="G81" s="63" t="s">
        <v>3121</v>
      </c>
      <c r="H81" s="57" t="s">
        <v>2899</v>
      </c>
      <c r="I81" s="63"/>
      <c r="J81" s="63"/>
      <c r="K81" s="85">
        <v>0</v>
      </c>
      <c r="L81" s="85">
        <v>2</v>
      </c>
      <c r="M81" s="57" t="s">
        <v>153</v>
      </c>
      <c r="N81" t="s">
        <v>54</v>
      </c>
    </row>
    <row r="82" spans="1:14" x14ac:dyDescent="0.25">
      <c r="A82" t="s">
        <v>43</v>
      </c>
      <c r="B82" s="84">
        <v>0</v>
      </c>
      <c r="C82" s="63" t="s">
        <v>93</v>
      </c>
      <c r="D82" s="61" t="s">
        <v>1891</v>
      </c>
      <c r="E82" s="74" t="s">
        <v>2139</v>
      </c>
      <c r="F82" s="73" t="s">
        <v>2138</v>
      </c>
      <c r="G82" s="61" t="s">
        <v>277</v>
      </c>
      <c r="H82" s="61" t="s">
        <v>278</v>
      </c>
      <c r="I82" s="61" t="s">
        <v>2320</v>
      </c>
      <c r="J82" s="63"/>
      <c r="K82" s="84">
        <v>1</v>
      </c>
      <c r="L82" s="84" t="s">
        <v>605</v>
      </c>
      <c r="M82" s="61" t="s">
        <v>91</v>
      </c>
      <c r="N82" t="s">
        <v>45</v>
      </c>
    </row>
    <row r="83" spans="1:14" x14ac:dyDescent="0.25">
      <c r="A83" t="s">
        <v>43</v>
      </c>
      <c r="B83" s="84">
        <v>1</v>
      </c>
      <c r="C83" s="63" t="s">
        <v>94</v>
      </c>
      <c r="D83" s="61" t="s">
        <v>1916</v>
      </c>
      <c r="E83" s="77" t="s">
        <v>2144</v>
      </c>
      <c r="F83" s="61" t="s">
        <v>2141</v>
      </c>
      <c r="G83" s="61" t="s">
        <v>279</v>
      </c>
      <c r="H83" s="61" t="s">
        <v>280</v>
      </c>
      <c r="I83" s="61" t="s">
        <v>2141</v>
      </c>
      <c r="J83" s="63"/>
      <c r="K83" s="84">
        <v>0</v>
      </c>
      <c r="L83" s="85">
        <v>0</v>
      </c>
      <c r="M83" s="61" t="s">
        <v>91</v>
      </c>
      <c r="N83" t="s">
        <v>45</v>
      </c>
    </row>
    <row r="84" spans="1:14" x14ac:dyDescent="0.25">
      <c r="A84" t="s">
        <v>43</v>
      </c>
      <c r="B84" s="84">
        <v>2</v>
      </c>
      <c r="C84" s="63" t="s">
        <v>95</v>
      </c>
      <c r="D84" s="61" t="s">
        <v>6981</v>
      </c>
      <c r="E84" s="77" t="s">
        <v>2145</v>
      </c>
      <c r="F84" s="61" t="s">
        <v>2146</v>
      </c>
      <c r="G84" s="61" t="s">
        <v>281</v>
      </c>
      <c r="H84" s="61" t="s">
        <v>282</v>
      </c>
      <c r="I84" s="61" t="s">
        <v>2476</v>
      </c>
      <c r="J84" s="63"/>
      <c r="K84" s="84">
        <v>0</v>
      </c>
      <c r="L84" s="85">
        <v>0</v>
      </c>
      <c r="M84" s="61" t="s">
        <v>91</v>
      </c>
      <c r="N84" t="s">
        <v>45</v>
      </c>
    </row>
    <row r="85" spans="1:14" x14ac:dyDescent="0.25">
      <c r="A85" t="s">
        <v>43</v>
      </c>
      <c r="B85" s="84">
        <v>3</v>
      </c>
      <c r="C85" s="63" t="s">
        <v>96</v>
      </c>
      <c r="D85" s="61" t="s">
        <v>6982</v>
      </c>
      <c r="E85" s="77" t="s">
        <v>2140</v>
      </c>
      <c r="F85" s="61" t="s">
        <v>3436</v>
      </c>
      <c r="G85" s="61" t="s">
        <v>283</v>
      </c>
      <c r="H85" s="61" t="s">
        <v>284</v>
      </c>
      <c r="I85" s="61" t="s">
        <v>2477</v>
      </c>
      <c r="J85" s="63"/>
      <c r="K85" s="84">
        <v>0</v>
      </c>
      <c r="L85" s="84">
        <v>0</v>
      </c>
      <c r="M85" s="61" t="s">
        <v>91</v>
      </c>
      <c r="N85" t="s">
        <v>45</v>
      </c>
    </row>
    <row r="86" spans="1:14" x14ac:dyDescent="0.25">
      <c r="A86" t="s">
        <v>43</v>
      </c>
      <c r="B86" s="84">
        <v>4</v>
      </c>
      <c r="C86" s="63" t="s">
        <v>97</v>
      </c>
      <c r="D86" s="61" t="s">
        <v>6979</v>
      </c>
      <c r="E86" s="74" t="s">
        <v>2143</v>
      </c>
      <c r="F86" s="61" t="s">
        <v>2143</v>
      </c>
      <c r="G86" s="61" t="s">
        <v>285</v>
      </c>
      <c r="H86" s="61" t="s">
        <v>286</v>
      </c>
      <c r="I86" s="61" t="s">
        <v>2321</v>
      </c>
      <c r="J86" s="63" t="s">
        <v>6983</v>
      </c>
      <c r="K86" s="84">
        <v>0</v>
      </c>
      <c r="L86" s="85">
        <v>0</v>
      </c>
      <c r="M86" s="61" t="s">
        <v>92</v>
      </c>
      <c r="N86" t="s">
        <v>45</v>
      </c>
    </row>
    <row r="87" spans="1:14" x14ac:dyDescent="0.25">
      <c r="A87" t="s">
        <v>43</v>
      </c>
      <c r="B87" s="84">
        <v>5</v>
      </c>
      <c r="C87" s="63" t="s">
        <v>98</v>
      </c>
      <c r="D87" s="61" t="s">
        <v>6980</v>
      </c>
      <c r="E87" s="77" t="s">
        <v>1516</v>
      </c>
      <c r="F87" s="62" t="s">
        <v>2297</v>
      </c>
      <c r="G87" s="61" t="s">
        <v>287</v>
      </c>
      <c r="H87" s="61" t="s">
        <v>288</v>
      </c>
      <c r="I87" s="61" t="s">
        <v>2322</v>
      </c>
      <c r="J87" s="63" t="s">
        <v>6984</v>
      </c>
      <c r="K87" s="84">
        <v>0</v>
      </c>
      <c r="L87" s="85">
        <v>0</v>
      </c>
      <c r="M87" s="61" t="s">
        <v>92</v>
      </c>
      <c r="N87" t="s">
        <v>45</v>
      </c>
    </row>
    <row r="88" spans="1:14" x14ac:dyDescent="0.25">
      <c r="A88" t="s">
        <v>43</v>
      </c>
      <c r="B88" s="13">
        <v>6</v>
      </c>
      <c r="C88" s="63" t="s">
        <v>3808</v>
      </c>
      <c r="D88" s="63" t="s">
        <v>6398</v>
      </c>
      <c r="G88" t="s">
        <v>3875</v>
      </c>
      <c r="H88" t="s">
        <v>3876</v>
      </c>
      <c r="L88" s="13">
        <v>0</v>
      </c>
      <c r="M88" t="s">
        <v>91</v>
      </c>
      <c r="N88" t="s">
        <v>45</v>
      </c>
    </row>
    <row r="89" spans="1:14" x14ac:dyDescent="0.25">
      <c r="A89" t="s">
        <v>43</v>
      </c>
      <c r="B89" s="13">
        <v>7</v>
      </c>
      <c r="C89" s="63" t="s">
        <v>3809</v>
      </c>
      <c r="D89" s="63" t="s">
        <v>6400</v>
      </c>
      <c r="G89" t="s">
        <v>3877</v>
      </c>
      <c r="H89" t="s">
        <v>3878</v>
      </c>
      <c r="L89" s="13">
        <v>0</v>
      </c>
      <c r="M89" t="s">
        <v>91</v>
      </c>
      <c r="N89" t="s">
        <v>45</v>
      </c>
    </row>
    <row r="90" spans="1:14" x14ac:dyDescent="0.25">
      <c r="A90" t="s">
        <v>43</v>
      </c>
      <c r="B90" s="13">
        <v>8</v>
      </c>
      <c r="C90" s="63" t="s">
        <v>3812</v>
      </c>
      <c r="D90" s="63" t="s">
        <v>6404</v>
      </c>
      <c r="G90" t="s">
        <v>3883</v>
      </c>
      <c r="H90" t="s">
        <v>3884</v>
      </c>
      <c r="L90" s="13">
        <v>0</v>
      </c>
      <c r="M90" t="s">
        <v>100</v>
      </c>
      <c r="N90" t="s">
        <v>45</v>
      </c>
    </row>
    <row r="91" spans="1:14" x14ac:dyDescent="0.25">
      <c r="A91" t="s">
        <v>43</v>
      </c>
      <c r="B91" s="13">
        <v>9</v>
      </c>
      <c r="C91" s="63" t="s">
        <v>3813</v>
      </c>
      <c r="D91" s="63" t="s">
        <v>3886</v>
      </c>
      <c r="G91" t="s">
        <v>3885</v>
      </c>
      <c r="H91" t="s">
        <v>3886</v>
      </c>
      <c r="L91" s="13">
        <v>0</v>
      </c>
      <c r="M91" t="s">
        <v>100</v>
      </c>
      <c r="N91" t="s">
        <v>45</v>
      </c>
    </row>
    <row r="92" spans="1:14" x14ac:dyDescent="0.25">
      <c r="A92" t="s">
        <v>43</v>
      </c>
      <c r="B92" s="84">
        <v>10</v>
      </c>
      <c r="C92" s="63" t="s">
        <v>99</v>
      </c>
      <c r="D92" s="61" t="s">
        <v>290</v>
      </c>
      <c r="E92" s="74" t="s">
        <v>2137</v>
      </c>
      <c r="F92" s="73" t="s">
        <v>2137</v>
      </c>
      <c r="G92" s="61" t="s">
        <v>289</v>
      </c>
      <c r="H92" s="61" t="s">
        <v>290</v>
      </c>
      <c r="I92" s="61" t="s">
        <v>2137</v>
      </c>
      <c r="J92" s="63"/>
      <c r="K92" s="84">
        <v>0</v>
      </c>
      <c r="L92" s="85">
        <v>0</v>
      </c>
      <c r="M92" s="61" t="s">
        <v>91</v>
      </c>
      <c r="N92" t="s">
        <v>45</v>
      </c>
    </row>
    <row r="93" spans="1:14" x14ac:dyDescent="0.25">
      <c r="A93" t="s">
        <v>43</v>
      </c>
      <c r="B93" s="13">
        <v>11</v>
      </c>
      <c r="C93" s="63" t="s">
        <v>3810</v>
      </c>
      <c r="D93" s="63" t="s">
        <v>6399</v>
      </c>
      <c r="G93" t="s">
        <v>3879</v>
      </c>
      <c r="H93" t="s">
        <v>3880</v>
      </c>
      <c r="L93" s="13">
        <v>0</v>
      </c>
      <c r="M93" t="s">
        <v>91</v>
      </c>
      <c r="N93" t="s">
        <v>45</v>
      </c>
    </row>
    <row r="94" spans="1:14" x14ac:dyDescent="0.25">
      <c r="A94" t="s">
        <v>43</v>
      </c>
      <c r="B94" s="13">
        <v>12</v>
      </c>
      <c r="C94" s="63" t="s">
        <v>3811</v>
      </c>
      <c r="D94" s="63" t="s">
        <v>3882</v>
      </c>
      <c r="G94" t="s">
        <v>3881</v>
      </c>
      <c r="H94" t="s">
        <v>3882</v>
      </c>
      <c r="L94" s="13">
        <v>0</v>
      </c>
      <c r="M94" t="s">
        <v>91</v>
      </c>
      <c r="N94" t="s">
        <v>45</v>
      </c>
    </row>
    <row r="95" spans="1:14" x14ac:dyDescent="0.25">
      <c r="A95" t="s">
        <v>43</v>
      </c>
      <c r="B95" s="13">
        <v>13</v>
      </c>
      <c r="C95" s="122" t="s">
        <v>3815</v>
      </c>
      <c r="D95" s="63" t="s">
        <v>1944</v>
      </c>
      <c r="G95" t="s">
        <v>3888</v>
      </c>
      <c r="H95" t="s">
        <v>3889</v>
      </c>
      <c r="L95" s="13">
        <v>0</v>
      </c>
      <c r="M95" t="s">
        <v>91</v>
      </c>
      <c r="N95" t="s">
        <v>45</v>
      </c>
    </row>
    <row r="96" spans="1:14" x14ac:dyDescent="0.25">
      <c r="A96" t="s">
        <v>43</v>
      </c>
      <c r="B96" s="13">
        <v>14</v>
      </c>
      <c r="C96" s="63" t="s">
        <v>3816</v>
      </c>
      <c r="D96" s="63" t="s">
        <v>6405</v>
      </c>
      <c r="G96" t="s">
        <v>3890</v>
      </c>
      <c r="H96" t="s">
        <v>3891</v>
      </c>
      <c r="L96" s="13">
        <v>0</v>
      </c>
      <c r="M96" t="s">
        <v>92</v>
      </c>
      <c r="N96" t="s">
        <v>45</v>
      </c>
    </row>
    <row r="97" spans="1:14" x14ac:dyDescent="0.25">
      <c r="A97" t="s">
        <v>43</v>
      </c>
      <c r="B97" s="13">
        <v>15</v>
      </c>
      <c r="C97" s="63" t="s">
        <v>3819</v>
      </c>
      <c r="D97" s="63" t="s">
        <v>6408</v>
      </c>
      <c r="G97" t="s">
        <v>3896</v>
      </c>
      <c r="H97" t="s">
        <v>3897</v>
      </c>
      <c r="L97" s="13">
        <v>0</v>
      </c>
      <c r="M97" t="s">
        <v>100</v>
      </c>
      <c r="N97" t="s">
        <v>45</v>
      </c>
    </row>
    <row r="98" spans="1:14" x14ac:dyDescent="0.25">
      <c r="A98" t="s">
        <v>43</v>
      </c>
      <c r="B98" s="13">
        <v>16</v>
      </c>
      <c r="C98" s="63" t="s">
        <v>3818</v>
      </c>
      <c r="D98" s="63" t="s">
        <v>6407</v>
      </c>
      <c r="G98" t="s">
        <v>3894</v>
      </c>
      <c r="H98" t="s">
        <v>3895</v>
      </c>
      <c r="L98" s="13">
        <v>0</v>
      </c>
      <c r="M98" t="s">
        <v>3004</v>
      </c>
      <c r="N98" t="s">
        <v>45</v>
      </c>
    </row>
    <row r="99" spans="1:14" x14ac:dyDescent="0.25">
      <c r="A99" t="s">
        <v>43</v>
      </c>
      <c r="B99" s="13">
        <v>17</v>
      </c>
      <c r="C99" s="63" t="s">
        <v>3817</v>
      </c>
      <c r="D99" s="63" t="s">
        <v>6406</v>
      </c>
      <c r="G99" t="s">
        <v>3892</v>
      </c>
      <c r="H99" t="s">
        <v>3893</v>
      </c>
      <c r="L99" s="13">
        <v>0</v>
      </c>
      <c r="M99" t="s">
        <v>3983</v>
      </c>
      <c r="N99" t="s">
        <v>45</v>
      </c>
    </row>
    <row r="100" spans="1:14" x14ac:dyDescent="0.25">
      <c r="A100" t="s">
        <v>43</v>
      </c>
      <c r="B100" s="13">
        <v>18</v>
      </c>
      <c r="C100" s="63" t="s">
        <v>3822</v>
      </c>
      <c r="D100" s="63" t="s">
        <v>6410</v>
      </c>
      <c r="G100" t="s">
        <v>3902</v>
      </c>
      <c r="H100" t="s">
        <v>3903</v>
      </c>
      <c r="L100" s="13">
        <v>0</v>
      </c>
      <c r="M100" t="s">
        <v>91</v>
      </c>
      <c r="N100" t="s">
        <v>45</v>
      </c>
    </row>
    <row r="101" spans="1:14" x14ac:dyDescent="0.25">
      <c r="A101" t="s">
        <v>43</v>
      </c>
      <c r="B101" s="13">
        <v>19</v>
      </c>
      <c r="C101" s="63" t="s">
        <v>3821</v>
      </c>
      <c r="D101" s="63" t="s">
        <v>6401</v>
      </c>
      <c r="G101" t="s">
        <v>3900</v>
      </c>
      <c r="H101" t="s">
        <v>3901</v>
      </c>
      <c r="J101" s="37"/>
      <c r="L101" s="13">
        <v>0</v>
      </c>
      <c r="M101" t="s">
        <v>92</v>
      </c>
      <c r="N101" t="s">
        <v>45</v>
      </c>
    </row>
    <row r="102" spans="1:14" x14ac:dyDescent="0.25">
      <c r="A102" t="s">
        <v>43</v>
      </c>
      <c r="B102" s="13">
        <v>20</v>
      </c>
      <c r="C102" s="63" t="s">
        <v>3853</v>
      </c>
      <c r="D102" s="63" t="s">
        <v>6648</v>
      </c>
      <c r="G102" t="s">
        <v>3958</v>
      </c>
      <c r="H102" t="s">
        <v>3959</v>
      </c>
      <c r="L102" s="13">
        <v>0</v>
      </c>
      <c r="M102" t="s">
        <v>91</v>
      </c>
      <c r="N102" t="s">
        <v>45</v>
      </c>
    </row>
    <row r="103" spans="1:14" x14ac:dyDescent="0.25">
      <c r="A103" t="s">
        <v>43</v>
      </c>
      <c r="B103" s="13">
        <v>21</v>
      </c>
      <c r="C103" s="63" t="s">
        <v>3854</v>
      </c>
      <c r="D103" s="63" t="s">
        <v>6649</v>
      </c>
      <c r="G103" t="s">
        <v>3960</v>
      </c>
      <c r="H103" t="s">
        <v>3961</v>
      </c>
      <c r="L103" s="13">
        <v>0</v>
      </c>
      <c r="M103" t="s">
        <v>91</v>
      </c>
      <c r="N103" t="s">
        <v>45</v>
      </c>
    </row>
    <row r="104" spans="1:14" x14ac:dyDescent="0.25">
      <c r="A104" t="s">
        <v>43</v>
      </c>
      <c r="B104" s="13">
        <v>22</v>
      </c>
      <c r="C104" s="63" t="s">
        <v>3825</v>
      </c>
      <c r="D104" s="63" t="s">
        <v>6403</v>
      </c>
      <c r="G104" t="s">
        <v>3825</v>
      </c>
      <c r="H104" t="s">
        <v>3907</v>
      </c>
      <c r="L104" s="13">
        <v>0</v>
      </c>
      <c r="M104" t="s">
        <v>91</v>
      </c>
      <c r="N104" t="s">
        <v>45</v>
      </c>
    </row>
    <row r="105" spans="1:14" x14ac:dyDescent="0.25">
      <c r="A105" t="s">
        <v>43</v>
      </c>
      <c r="B105" s="13">
        <v>22</v>
      </c>
      <c r="C105" s="63" t="s">
        <v>3814</v>
      </c>
      <c r="D105" s="63" t="s">
        <v>6734</v>
      </c>
      <c r="G105" t="s">
        <v>3598</v>
      </c>
      <c r="H105" t="s">
        <v>3887</v>
      </c>
      <c r="L105" s="13">
        <v>0</v>
      </c>
      <c r="M105" t="s">
        <v>91</v>
      </c>
      <c r="N105" t="s">
        <v>45</v>
      </c>
    </row>
    <row r="106" spans="1:14" x14ac:dyDescent="0.25">
      <c r="A106" t="s">
        <v>43</v>
      </c>
      <c r="B106" s="13">
        <v>23</v>
      </c>
      <c r="C106" s="63" t="s">
        <v>3823</v>
      </c>
      <c r="D106" s="63" t="s">
        <v>6411</v>
      </c>
      <c r="G106" t="s">
        <v>3823</v>
      </c>
      <c r="H106" t="s">
        <v>3904</v>
      </c>
      <c r="L106" s="13">
        <v>0</v>
      </c>
      <c r="M106" t="s">
        <v>91</v>
      </c>
      <c r="N106" t="s">
        <v>45</v>
      </c>
    </row>
    <row r="107" spans="1:14" x14ac:dyDescent="0.25">
      <c r="A107" t="s">
        <v>43</v>
      </c>
      <c r="B107" s="13">
        <v>24</v>
      </c>
      <c r="C107" s="63" t="s">
        <v>3824</v>
      </c>
      <c r="D107" s="63" t="s">
        <v>6402</v>
      </c>
      <c r="G107" t="s">
        <v>3905</v>
      </c>
      <c r="H107" t="s">
        <v>3906</v>
      </c>
      <c r="L107" s="13">
        <v>0</v>
      </c>
      <c r="M107" t="s">
        <v>91</v>
      </c>
      <c r="N107" t="s">
        <v>45</v>
      </c>
    </row>
    <row r="108" spans="1:14" x14ac:dyDescent="0.25">
      <c r="A108" t="s">
        <v>43</v>
      </c>
      <c r="B108" s="13">
        <v>25</v>
      </c>
      <c r="C108" s="63" t="s">
        <v>3820</v>
      </c>
      <c r="D108" s="64" t="s">
        <v>6409</v>
      </c>
      <c r="G108" t="s">
        <v>3898</v>
      </c>
      <c r="H108" t="s">
        <v>3899</v>
      </c>
      <c r="J108" s="37"/>
      <c r="L108" s="13">
        <v>0</v>
      </c>
      <c r="M108" t="s">
        <v>91</v>
      </c>
      <c r="N108" t="s">
        <v>45</v>
      </c>
    </row>
    <row r="109" spans="1:14" x14ac:dyDescent="0.25">
      <c r="A109" t="s">
        <v>43</v>
      </c>
      <c r="B109" s="13">
        <v>26</v>
      </c>
      <c r="C109" s="63" t="s">
        <v>3826</v>
      </c>
      <c r="D109" s="63" t="s">
        <v>6412</v>
      </c>
      <c r="G109" t="s">
        <v>3908</v>
      </c>
      <c r="H109" t="s">
        <v>3909</v>
      </c>
      <c r="L109" s="13">
        <v>0</v>
      </c>
      <c r="M109" t="s">
        <v>91</v>
      </c>
      <c r="N109" t="s">
        <v>45</v>
      </c>
    </row>
    <row r="110" spans="1:14" x14ac:dyDescent="0.25">
      <c r="A110" t="s">
        <v>43</v>
      </c>
      <c r="B110" s="13">
        <v>27</v>
      </c>
      <c r="C110" s="63" t="s">
        <v>3827</v>
      </c>
      <c r="D110" s="63" t="s">
        <v>6413</v>
      </c>
      <c r="G110" t="s">
        <v>3910</v>
      </c>
      <c r="H110" t="s">
        <v>3911</v>
      </c>
      <c r="L110" s="13">
        <v>0</v>
      </c>
      <c r="M110" t="s">
        <v>153</v>
      </c>
      <c r="N110" t="s">
        <v>45</v>
      </c>
    </row>
    <row r="111" spans="1:14" x14ac:dyDescent="0.25">
      <c r="A111" t="s">
        <v>43</v>
      </c>
      <c r="B111" s="13">
        <v>28</v>
      </c>
      <c r="C111" s="63" t="s">
        <v>3828</v>
      </c>
      <c r="D111" s="63" t="s">
        <v>6414</v>
      </c>
      <c r="G111" t="s">
        <v>3912</v>
      </c>
      <c r="H111" t="s">
        <v>3913</v>
      </c>
      <c r="L111" s="13">
        <v>0</v>
      </c>
      <c r="M111" t="s">
        <v>153</v>
      </c>
      <c r="N111" t="s">
        <v>45</v>
      </c>
    </row>
    <row r="112" spans="1:14" x14ac:dyDescent="0.25">
      <c r="A112" t="s">
        <v>43</v>
      </c>
      <c r="B112" s="13">
        <v>29</v>
      </c>
      <c r="C112" s="63" t="s">
        <v>3829</v>
      </c>
      <c r="D112" s="63" t="s">
        <v>6415</v>
      </c>
      <c r="G112" t="s">
        <v>3914</v>
      </c>
      <c r="H112" t="s">
        <v>3915</v>
      </c>
      <c r="L112" s="13">
        <v>0</v>
      </c>
      <c r="M112" t="s">
        <v>91</v>
      </c>
      <c r="N112" t="s">
        <v>45</v>
      </c>
    </row>
    <row r="113" spans="1:15" x14ac:dyDescent="0.25">
      <c r="A113" s="145" t="s">
        <v>64</v>
      </c>
      <c r="B113" s="141">
        <v>-99</v>
      </c>
      <c r="C113" s="91" t="s">
        <v>6803</v>
      </c>
      <c r="E113" s="91"/>
      <c r="G113" s="91" t="s">
        <v>6894</v>
      </c>
      <c r="H113" s="91" t="s">
        <v>6895</v>
      </c>
      <c r="J113" s="91"/>
      <c r="K113" s="136"/>
      <c r="L113" s="136"/>
      <c r="M113" s="91" t="s">
        <v>3009</v>
      </c>
      <c r="N113" s="138" t="s">
        <v>54</v>
      </c>
      <c r="O113" s="92"/>
    </row>
    <row r="114" spans="1:15" x14ac:dyDescent="0.25">
      <c r="A114" s="145" t="s">
        <v>64</v>
      </c>
      <c r="B114" s="141">
        <v>-99</v>
      </c>
      <c r="C114" s="91" t="s">
        <v>6802</v>
      </c>
      <c r="E114" s="91"/>
      <c r="G114" s="91" t="s">
        <v>6892</v>
      </c>
      <c r="H114" s="91" t="s">
        <v>6893</v>
      </c>
      <c r="J114" s="91"/>
      <c r="K114" s="136"/>
      <c r="L114" s="136"/>
      <c r="M114" s="91" t="s">
        <v>3004</v>
      </c>
      <c r="N114" s="138" t="s">
        <v>54</v>
      </c>
      <c r="O114" s="92"/>
    </row>
    <row r="115" spans="1:15" x14ac:dyDescent="0.25">
      <c r="A115" s="145" t="s">
        <v>64</v>
      </c>
      <c r="B115" s="141">
        <v>-99</v>
      </c>
      <c r="C115" s="91" t="s">
        <v>292</v>
      </c>
      <c r="E115" s="91"/>
      <c r="G115" s="91" t="s">
        <v>292</v>
      </c>
      <c r="H115" s="91" t="s">
        <v>292</v>
      </c>
      <c r="J115" s="91"/>
      <c r="K115" s="136"/>
      <c r="L115" s="136"/>
      <c r="M115" s="92"/>
      <c r="N115" s="138" t="s">
        <v>54</v>
      </c>
      <c r="O115" s="92"/>
    </row>
    <row r="116" spans="1:15" x14ac:dyDescent="0.25">
      <c r="A116" s="123" t="s">
        <v>64</v>
      </c>
      <c r="B116" s="124">
        <v>0</v>
      </c>
      <c r="C116" s="125" t="s">
        <v>93</v>
      </c>
      <c r="D116" s="125" t="s">
        <v>1927</v>
      </c>
      <c r="E116" s="126" t="s">
        <v>2139</v>
      </c>
      <c r="F116" s="125" t="s">
        <v>2187</v>
      </c>
      <c r="G116" s="125" t="s">
        <v>277</v>
      </c>
      <c r="H116" s="125" t="s">
        <v>278</v>
      </c>
      <c r="I116" s="125" t="s">
        <v>2320</v>
      </c>
      <c r="J116" s="127"/>
      <c r="K116" s="124">
        <v>1</v>
      </c>
      <c r="L116" s="124" t="s">
        <v>605</v>
      </c>
      <c r="M116" s="125" t="s">
        <v>91</v>
      </c>
      <c r="N116" s="123" t="s">
        <v>54</v>
      </c>
      <c r="O116" s="123"/>
    </row>
    <row r="117" spans="1:15" x14ac:dyDescent="0.25">
      <c r="A117" t="s">
        <v>64</v>
      </c>
      <c r="B117" s="85">
        <v>1</v>
      </c>
      <c r="C117" s="61" t="s">
        <v>124</v>
      </c>
      <c r="D117" s="61" t="s">
        <v>1954</v>
      </c>
      <c r="E117" s="77" t="s">
        <v>1580</v>
      </c>
      <c r="F117" s="61" t="s">
        <v>2184</v>
      </c>
      <c r="G117" s="61" t="s">
        <v>334</v>
      </c>
      <c r="H117" s="61" t="s">
        <v>335</v>
      </c>
      <c r="I117" s="75" t="s">
        <v>2342</v>
      </c>
      <c r="J117" s="63"/>
      <c r="K117" s="85">
        <v>1</v>
      </c>
      <c r="L117" s="84" t="s">
        <v>605</v>
      </c>
      <c r="M117" s="61" t="s">
        <v>100</v>
      </c>
      <c r="N117" t="s">
        <v>54</v>
      </c>
    </row>
    <row r="118" spans="1:15" x14ac:dyDescent="0.25">
      <c r="A118" t="s">
        <v>64</v>
      </c>
      <c r="B118" s="85">
        <v>2</v>
      </c>
      <c r="C118" s="104" t="s">
        <v>192</v>
      </c>
      <c r="D118" s="61" t="s">
        <v>6470</v>
      </c>
      <c r="E118" s="28"/>
      <c r="F118" s="61" t="s">
        <v>2183</v>
      </c>
      <c r="G118" s="61" t="s">
        <v>446</v>
      </c>
      <c r="H118" s="61" t="s">
        <v>447</v>
      </c>
      <c r="I118" s="75" t="s">
        <v>2392</v>
      </c>
      <c r="J118" s="63"/>
      <c r="K118" s="85">
        <v>0</v>
      </c>
      <c r="L118" s="85" t="s">
        <v>605</v>
      </c>
      <c r="M118" s="61" t="s">
        <v>91</v>
      </c>
      <c r="N118" t="s">
        <v>54</v>
      </c>
    </row>
    <row r="119" spans="1:15" x14ac:dyDescent="0.25">
      <c r="A119" t="s">
        <v>64</v>
      </c>
      <c r="B119" s="85">
        <v>3</v>
      </c>
      <c r="C119" s="61" t="s">
        <v>185</v>
      </c>
      <c r="D119" s="61" t="s">
        <v>2063</v>
      </c>
      <c r="E119" s="77" t="s">
        <v>1538</v>
      </c>
      <c r="F119" s="61" t="s">
        <v>2182</v>
      </c>
      <c r="G119" s="61" t="s">
        <v>432</v>
      </c>
      <c r="H119" s="61" t="s">
        <v>433</v>
      </c>
      <c r="I119" s="75" t="s">
        <v>2385</v>
      </c>
      <c r="J119" s="63"/>
      <c r="K119" s="85">
        <v>0</v>
      </c>
      <c r="L119" s="85" t="s">
        <v>605</v>
      </c>
      <c r="M119" s="61" t="s">
        <v>153</v>
      </c>
      <c r="N119" t="s">
        <v>54</v>
      </c>
    </row>
    <row r="120" spans="1:15" x14ac:dyDescent="0.25">
      <c r="A120" t="s">
        <v>64</v>
      </c>
      <c r="B120" s="85">
        <v>4</v>
      </c>
      <c r="C120" s="61" t="s">
        <v>186</v>
      </c>
      <c r="D120" s="61" t="s">
        <v>2017</v>
      </c>
      <c r="E120" s="77" t="s">
        <v>1581</v>
      </c>
      <c r="F120" s="61" t="s">
        <v>2216</v>
      </c>
      <c r="G120" s="61" t="s">
        <v>434</v>
      </c>
      <c r="H120" s="61" t="s">
        <v>435</v>
      </c>
      <c r="I120" s="75" t="s">
        <v>2386</v>
      </c>
      <c r="J120" s="63" t="s">
        <v>3441</v>
      </c>
      <c r="K120" s="85">
        <v>0</v>
      </c>
      <c r="L120" s="85">
        <v>2</v>
      </c>
      <c r="M120" s="61" t="s">
        <v>92</v>
      </c>
      <c r="N120" t="s">
        <v>54</v>
      </c>
    </row>
    <row r="121" spans="1:15" x14ac:dyDescent="0.25">
      <c r="A121" t="s">
        <v>64</v>
      </c>
      <c r="B121" s="85">
        <v>5</v>
      </c>
      <c r="C121" s="61" t="s">
        <v>187</v>
      </c>
      <c r="D121" s="61" t="s">
        <v>1956</v>
      </c>
      <c r="E121" s="77" t="s">
        <v>1582</v>
      </c>
      <c r="F121" s="61" t="s">
        <v>2217</v>
      </c>
      <c r="G121" s="61" t="s">
        <v>436</v>
      </c>
      <c r="H121" s="61" t="s">
        <v>437</v>
      </c>
      <c r="I121" s="75" t="s">
        <v>2387</v>
      </c>
      <c r="J121" s="63" t="s">
        <v>3438</v>
      </c>
      <c r="K121" s="85">
        <v>0</v>
      </c>
      <c r="L121" s="85">
        <v>2</v>
      </c>
      <c r="M121" s="61" t="s">
        <v>92</v>
      </c>
      <c r="N121" t="s">
        <v>54</v>
      </c>
    </row>
    <row r="122" spans="1:15" x14ac:dyDescent="0.25">
      <c r="A122" t="s">
        <v>64</v>
      </c>
      <c r="B122" s="85">
        <v>6</v>
      </c>
      <c r="C122" s="61" t="s">
        <v>188</v>
      </c>
      <c r="D122" s="61" t="s">
        <v>1889</v>
      </c>
      <c r="E122" s="77" t="s">
        <v>1583</v>
      </c>
      <c r="F122" s="61" t="s">
        <v>2218</v>
      </c>
      <c r="G122" s="61" t="s">
        <v>438</v>
      </c>
      <c r="H122" s="61" t="s">
        <v>439</v>
      </c>
      <c r="I122" s="75" t="s">
        <v>2388</v>
      </c>
      <c r="J122" s="63"/>
      <c r="K122" s="85">
        <v>0</v>
      </c>
      <c r="L122" s="85">
        <v>2</v>
      </c>
      <c r="M122" s="61" t="s">
        <v>156</v>
      </c>
      <c r="N122" t="s">
        <v>54</v>
      </c>
    </row>
    <row r="123" spans="1:15" x14ac:dyDescent="0.25">
      <c r="A123" t="s">
        <v>64</v>
      </c>
      <c r="B123" s="85">
        <v>7</v>
      </c>
      <c r="C123" s="63" t="s">
        <v>2737</v>
      </c>
      <c r="D123" s="57" t="s">
        <v>3420</v>
      </c>
      <c r="E123" s="63"/>
      <c r="F123" s="63" t="s">
        <v>3421</v>
      </c>
      <c r="G123" s="63" t="s">
        <v>3166</v>
      </c>
      <c r="H123" s="57" t="s">
        <v>2942</v>
      </c>
      <c r="I123" s="63"/>
      <c r="J123" s="63"/>
      <c r="K123" s="85">
        <v>0</v>
      </c>
      <c r="L123" s="85">
        <v>2</v>
      </c>
      <c r="M123" s="57" t="s">
        <v>3012</v>
      </c>
      <c r="N123" t="s">
        <v>54</v>
      </c>
    </row>
    <row r="124" spans="1:15" x14ac:dyDescent="0.25">
      <c r="A124" t="s">
        <v>64</v>
      </c>
      <c r="B124" s="85">
        <v>8</v>
      </c>
      <c r="C124" s="61" t="s">
        <v>189</v>
      </c>
      <c r="D124" s="61" t="s">
        <v>1890</v>
      </c>
      <c r="E124" s="77" t="s">
        <v>1584</v>
      </c>
      <c r="F124" s="61" t="s">
        <v>2219</v>
      </c>
      <c r="G124" s="61" t="s">
        <v>440</v>
      </c>
      <c r="H124" s="61" t="s">
        <v>441</v>
      </c>
      <c r="I124" s="75" t="s">
        <v>2389</v>
      </c>
      <c r="J124" s="63"/>
      <c r="K124" s="85">
        <v>0</v>
      </c>
      <c r="L124" s="85">
        <v>2</v>
      </c>
      <c r="M124" s="61" t="s">
        <v>158</v>
      </c>
      <c r="N124" t="s">
        <v>54</v>
      </c>
    </row>
    <row r="125" spans="1:15" x14ac:dyDescent="0.25">
      <c r="A125" t="s">
        <v>64</v>
      </c>
      <c r="B125" s="85">
        <v>9</v>
      </c>
      <c r="C125" s="63" t="s">
        <v>2738</v>
      </c>
      <c r="D125" s="57" t="s">
        <v>3262</v>
      </c>
      <c r="E125" s="63"/>
      <c r="F125" s="63" t="s">
        <v>3422</v>
      </c>
      <c r="G125" s="63" t="s">
        <v>3167</v>
      </c>
      <c r="H125" s="57" t="s">
        <v>2943</v>
      </c>
      <c r="I125" s="63"/>
      <c r="J125" s="63"/>
      <c r="K125" s="85">
        <v>0</v>
      </c>
      <c r="L125" s="85">
        <v>2</v>
      </c>
      <c r="M125" s="57" t="s">
        <v>158</v>
      </c>
      <c r="N125" t="s">
        <v>54</v>
      </c>
    </row>
    <row r="126" spans="1:15" x14ac:dyDescent="0.25">
      <c r="A126" t="s">
        <v>64</v>
      </c>
      <c r="B126" s="85">
        <v>10</v>
      </c>
      <c r="C126" s="63" t="s">
        <v>2739</v>
      </c>
      <c r="D126" s="57" t="s">
        <v>3264</v>
      </c>
      <c r="E126" s="63"/>
      <c r="F126" s="63" t="s">
        <v>3423</v>
      </c>
      <c r="G126" s="63" t="s">
        <v>3168</v>
      </c>
      <c r="H126" s="57" t="s">
        <v>2944</v>
      </c>
      <c r="I126" s="63"/>
      <c r="J126" s="63"/>
      <c r="K126" s="85">
        <v>0</v>
      </c>
      <c r="L126" s="85">
        <v>2</v>
      </c>
      <c r="M126" s="57" t="s">
        <v>158</v>
      </c>
      <c r="N126" t="s">
        <v>54</v>
      </c>
    </row>
    <row r="127" spans="1:15" x14ac:dyDescent="0.25">
      <c r="A127" t="s">
        <v>64</v>
      </c>
      <c r="B127" s="85">
        <v>11</v>
      </c>
      <c r="C127" s="63" t="s">
        <v>2740</v>
      </c>
      <c r="D127" s="57" t="s">
        <v>3263</v>
      </c>
      <c r="E127" s="63"/>
      <c r="F127" s="63" t="s">
        <v>3424</v>
      </c>
      <c r="G127" s="63" t="s">
        <v>3169</v>
      </c>
      <c r="H127" s="57" t="s">
        <v>2945</v>
      </c>
      <c r="I127" s="63"/>
      <c r="J127" s="63"/>
      <c r="K127" s="85">
        <v>0</v>
      </c>
      <c r="L127" s="85">
        <v>2</v>
      </c>
      <c r="M127" s="57" t="s">
        <v>158</v>
      </c>
      <c r="N127" t="s">
        <v>54</v>
      </c>
    </row>
    <row r="128" spans="1:15" x14ac:dyDescent="0.25">
      <c r="A128" t="s">
        <v>64</v>
      </c>
      <c r="B128" s="85">
        <v>12</v>
      </c>
      <c r="C128" s="61" t="s">
        <v>190</v>
      </c>
      <c r="D128" s="61" t="s">
        <v>3265</v>
      </c>
      <c r="E128" s="77" t="s">
        <v>1585</v>
      </c>
      <c r="F128" s="61" t="s">
        <v>3427</v>
      </c>
      <c r="G128" s="61" t="s">
        <v>442</v>
      </c>
      <c r="H128" s="61" t="s">
        <v>443</v>
      </c>
      <c r="I128" s="75" t="s">
        <v>2390</v>
      </c>
      <c r="J128" s="63"/>
      <c r="K128" s="85">
        <v>0</v>
      </c>
      <c r="L128" s="85">
        <v>0</v>
      </c>
      <c r="M128" s="61" t="s">
        <v>183</v>
      </c>
      <c r="N128" t="s">
        <v>54</v>
      </c>
    </row>
    <row r="129" spans="1:15" x14ac:dyDescent="0.25">
      <c r="A129" t="s">
        <v>64</v>
      </c>
      <c r="B129" s="85">
        <v>13</v>
      </c>
      <c r="C129" s="61" t="s">
        <v>191</v>
      </c>
      <c r="D129" s="61" t="s">
        <v>3266</v>
      </c>
      <c r="E129" s="77" t="s">
        <v>1586</v>
      </c>
      <c r="F129" s="61" t="s">
        <v>3426</v>
      </c>
      <c r="G129" s="61" t="s">
        <v>444</v>
      </c>
      <c r="H129" s="61" t="s">
        <v>445</v>
      </c>
      <c r="I129" s="75" t="s">
        <v>2391</v>
      </c>
      <c r="J129" s="63"/>
      <c r="K129" s="85">
        <v>0</v>
      </c>
      <c r="L129" s="85">
        <v>0</v>
      </c>
      <c r="M129" s="61" t="s">
        <v>184</v>
      </c>
      <c r="N129" t="s">
        <v>54</v>
      </c>
    </row>
    <row r="130" spans="1:15" x14ac:dyDescent="0.25">
      <c r="A130" t="s">
        <v>64</v>
      </c>
      <c r="B130" s="85">
        <v>14</v>
      </c>
      <c r="C130" s="63" t="s">
        <v>2744</v>
      </c>
      <c r="D130" s="61" t="s">
        <v>3267</v>
      </c>
      <c r="E130" s="28"/>
      <c r="F130" s="61" t="s">
        <v>3425</v>
      </c>
      <c r="G130" s="63" t="s">
        <v>3173</v>
      </c>
      <c r="H130" s="57" t="s">
        <v>2949</v>
      </c>
      <c r="I130" s="63"/>
      <c r="J130" s="63"/>
      <c r="K130" s="85">
        <v>0</v>
      </c>
      <c r="L130" s="85">
        <v>0</v>
      </c>
      <c r="M130" s="57" t="s">
        <v>3016</v>
      </c>
      <c r="N130" t="s">
        <v>54</v>
      </c>
    </row>
    <row r="131" spans="1:15" x14ac:dyDescent="0.25">
      <c r="A131" t="s">
        <v>64</v>
      </c>
      <c r="B131" s="85">
        <v>15</v>
      </c>
      <c r="C131" s="63" t="s">
        <v>2742</v>
      </c>
      <c r="D131" s="61" t="s">
        <v>3268</v>
      </c>
      <c r="E131" s="63"/>
      <c r="F131" s="61" t="s">
        <v>3428</v>
      </c>
      <c r="G131" s="63" t="s">
        <v>3171</v>
      </c>
      <c r="H131" s="57" t="s">
        <v>2947</v>
      </c>
      <c r="I131" s="63"/>
      <c r="J131" s="63"/>
      <c r="K131" s="85">
        <v>0</v>
      </c>
      <c r="L131" s="85">
        <v>0</v>
      </c>
      <c r="M131" s="57" t="s">
        <v>3014</v>
      </c>
      <c r="N131" t="s">
        <v>54</v>
      </c>
    </row>
    <row r="132" spans="1:15" x14ac:dyDescent="0.25">
      <c r="A132" t="s">
        <v>64</v>
      </c>
      <c r="B132" s="85">
        <v>16</v>
      </c>
      <c r="C132" s="63" t="s">
        <v>2747</v>
      </c>
      <c r="D132" s="61" t="s">
        <v>3269</v>
      </c>
      <c r="E132" s="63"/>
      <c r="F132" s="61" t="s">
        <v>3429</v>
      </c>
      <c r="G132" s="63" t="s">
        <v>3176</v>
      </c>
      <c r="H132" s="57" t="s">
        <v>2952</v>
      </c>
      <c r="I132" s="63"/>
      <c r="J132" s="63"/>
      <c r="K132" s="85">
        <v>0</v>
      </c>
      <c r="L132" s="85">
        <v>0</v>
      </c>
      <c r="M132" s="58" t="s">
        <v>3019</v>
      </c>
      <c r="N132" t="s">
        <v>54</v>
      </c>
    </row>
    <row r="133" spans="1:15" x14ac:dyDescent="0.25">
      <c r="A133" t="s">
        <v>64</v>
      </c>
      <c r="B133" s="85">
        <v>17</v>
      </c>
      <c r="C133" s="63" t="s">
        <v>2743</v>
      </c>
      <c r="D133" s="61" t="s">
        <v>3270</v>
      </c>
      <c r="E133" s="63"/>
      <c r="F133" s="61" t="s">
        <v>3430</v>
      </c>
      <c r="G133" s="63" t="s">
        <v>3172</v>
      </c>
      <c r="H133" s="57" t="s">
        <v>2948</v>
      </c>
      <c r="I133" s="63"/>
      <c r="J133" s="63"/>
      <c r="K133" s="85">
        <v>0</v>
      </c>
      <c r="L133" s="85">
        <v>0</v>
      </c>
      <c r="M133" s="57" t="s">
        <v>3015</v>
      </c>
      <c r="N133" t="s">
        <v>54</v>
      </c>
    </row>
    <row r="134" spans="1:15" x14ac:dyDescent="0.25">
      <c r="A134" t="s">
        <v>64</v>
      </c>
      <c r="B134" s="85">
        <v>18</v>
      </c>
      <c r="C134" s="63" t="s">
        <v>2746</v>
      </c>
      <c r="D134" s="61" t="s">
        <v>3271</v>
      </c>
      <c r="E134" s="63"/>
      <c r="F134" s="61" t="s">
        <v>3431</v>
      </c>
      <c r="G134" s="63" t="s">
        <v>3175</v>
      </c>
      <c r="H134" s="57" t="s">
        <v>2951</v>
      </c>
      <c r="I134" s="63"/>
      <c r="J134" s="63"/>
      <c r="K134" s="85">
        <v>0</v>
      </c>
      <c r="L134" s="85">
        <v>0</v>
      </c>
      <c r="M134" s="58" t="s">
        <v>3018</v>
      </c>
      <c r="N134" t="s">
        <v>54</v>
      </c>
    </row>
    <row r="135" spans="1:15" x14ac:dyDescent="0.25">
      <c r="A135" t="s">
        <v>64</v>
      </c>
      <c r="B135" s="85">
        <v>19</v>
      </c>
      <c r="C135" s="63" t="s">
        <v>2741</v>
      </c>
      <c r="D135" s="61" t="s">
        <v>3272</v>
      </c>
      <c r="E135" s="63"/>
      <c r="F135" s="61" t="s">
        <v>3432</v>
      </c>
      <c r="G135" s="63" t="s">
        <v>3170</v>
      </c>
      <c r="H135" s="57" t="s">
        <v>2946</v>
      </c>
      <c r="I135" s="63"/>
      <c r="J135" s="63"/>
      <c r="K135" s="85">
        <v>0</v>
      </c>
      <c r="L135" s="85">
        <v>0</v>
      </c>
      <c r="M135" s="57" t="s">
        <v>3013</v>
      </c>
      <c r="N135" t="s">
        <v>54</v>
      </c>
    </row>
    <row r="136" spans="1:15" x14ac:dyDescent="0.25">
      <c r="A136" t="s">
        <v>64</v>
      </c>
      <c r="B136" s="85">
        <v>20</v>
      </c>
      <c r="C136" s="63" t="s">
        <v>2745</v>
      </c>
      <c r="D136" s="61" t="s">
        <v>3273</v>
      </c>
      <c r="E136" s="63"/>
      <c r="F136" s="61" t="s">
        <v>3433</v>
      </c>
      <c r="G136" s="63" t="s">
        <v>3174</v>
      </c>
      <c r="H136" s="57" t="s">
        <v>2950</v>
      </c>
      <c r="I136" s="63"/>
      <c r="J136" s="63"/>
      <c r="K136" s="85">
        <v>0</v>
      </c>
      <c r="L136" s="85">
        <v>0</v>
      </c>
      <c r="M136" s="57" t="s">
        <v>3017</v>
      </c>
      <c r="N136" t="s">
        <v>54</v>
      </c>
    </row>
    <row r="137" spans="1:15" x14ac:dyDescent="0.25">
      <c r="A137" t="s">
        <v>64</v>
      </c>
      <c r="B137" s="85">
        <v>21</v>
      </c>
      <c r="C137" s="63" t="s">
        <v>2748</v>
      </c>
      <c r="D137" s="61" t="s">
        <v>6667</v>
      </c>
      <c r="E137" s="63"/>
      <c r="F137" s="61" t="s">
        <v>3434</v>
      </c>
      <c r="G137" s="63" t="s">
        <v>3177</v>
      </c>
      <c r="H137" s="57" t="s">
        <v>2953</v>
      </c>
      <c r="I137" s="63"/>
      <c r="J137" s="63"/>
      <c r="K137" s="85">
        <v>0</v>
      </c>
      <c r="L137" s="85">
        <v>0</v>
      </c>
      <c r="M137" s="60" t="s">
        <v>3020</v>
      </c>
      <c r="N137" t="s">
        <v>54</v>
      </c>
    </row>
    <row r="138" spans="1:15" x14ac:dyDescent="0.25">
      <c r="A138" t="s">
        <v>64</v>
      </c>
      <c r="B138" s="85">
        <v>22</v>
      </c>
      <c r="C138" s="63" t="s">
        <v>2733</v>
      </c>
      <c r="D138" s="61" t="s">
        <v>6668</v>
      </c>
      <c r="E138" s="28"/>
      <c r="F138" s="61" t="s">
        <v>3435</v>
      </c>
      <c r="G138" s="63" t="s">
        <v>3178</v>
      </c>
      <c r="H138" s="57" t="s">
        <v>2938</v>
      </c>
      <c r="I138" s="63"/>
      <c r="J138" s="63" t="s">
        <v>3725</v>
      </c>
      <c r="K138" s="85">
        <v>0</v>
      </c>
      <c r="L138" s="85">
        <v>0</v>
      </c>
      <c r="M138" s="57" t="s">
        <v>92</v>
      </c>
      <c r="N138" t="s">
        <v>54</v>
      </c>
    </row>
    <row r="139" spans="1:15" x14ac:dyDescent="0.25">
      <c r="A139" t="s">
        <v>63</v>
      </c>
      <c r="B139" s="85">
        <v>-99</v>
      </c>
      <c r="C139" s="63" t="s">
        <v>2721</v>
      </c>
      <c r="D139" s="57"/>
      <c r="E139" s="63"/>
      <c r="F139" s="63"/>
      <c r="G139" s="63" t="s">
        <v>3149</v>
      </c>
      <c r="H139" s="57" t="s">
        <v>2926</v>
      </c>
      <c r="I139" s="63"/>
      <c r="J139" s="63" t="s">
        <v>3441</v>
      </c>
      <c r="K139" s="85">
        <v>0</v>
      </c>
      <c r="L139" s="85">
        <v>0</v>
      </c>
      <c r="M139" s="57" t="s">
        <v>92</v>
      </c>
      <c r="N139" t="s">
        <v>54</v>
      </c>
    </row>
    <row r="140" spans="1:15" x14ac:dyDescent="0.25">
      <c r="A140" s="144" t="s">
        <v>63</v>
      </c>
      <c r="B140" s="141">
        <v>-99</v>
      </c>
      <c r="C140" s="91" t="s">
        <v>292</v>
      </c>
      <c r="E140" s="91"/>
      <c r="G140" s="91" t="s">
        <v>292</v>
      </c>
      <c r="H140" s="91" t="s">
        <v>292</v>
      </c>
      <c r="J140" s="91"/>
      <c r="K140" s="136"/>
      <c r="L140" s="136"/>
      <c r="M140" s="92"/>
      <c r="N140" s="138" t="s">
        <v>54</v>
      </c>
      <c r="O140" s="92"/>
    </row>
    <row r="141" spans="1:15" x14ac:dyDescent="0.25">
      <c r="A141" s="123" t="s">
        <v>63</v>
      </c>
      <c r="B141" s="124">
        <v>0</v>
      </c>
      <c r="C141" s="125" t="s">
        <v>93</v>
      </c>
      <c r="D141" s="125" t="s">
        <v>1927</v>
      </c>
      <c r="E141" s="126" t="s">
        <v>2139</v>
      </c>
      <c r="F141" s="125" t="s">
        <v>2187</v>
      </c>
      <c r="G141" s="125" t="s">
        <v>277</v>
      </c>
      <c r="H141" s="125" t="s">
        <v>278</v>
      </c>
      <c r="I141" s="125" t="s">
        <v>2320</v>
      </c>
      <c r="J141" s="127"/>
      <c r="K141" s="124">
        <v>1</v>
      </c>
      <c r="L141" s="124" t="s">
        <v>605</v>
      </c>
      <c r="M141" s="125" t="s">
        <v>91</v>
      </c>
      <c r="N141" s="123" t="s">
        <v>54</v>
      </c>
      <c r="O141" s="123"/>
    </row>
    <row r="142" spans="1:15" x14ac:dyDescent="0.25">
      <c r="A142" t="s">
        <v>63</v>
      </c>
      <c r="B142" s="85">
        <v>1</v>
      </c>
      <c r="C142" s="61" t="s">
        <v>124</v>
      </c>
      <c r="D142" s="61" t="s">
        <v>1926</v>
      </c>
      <c r="E142" s="77" t="s">
        <v>1538</v>
      </c>
      <c r="F142" s="61" t="s">
        <v>2155</v>
      </c>
      <c r="G142" s="61" t="s">
        <v>334</v>
      </c>
      <c r="H142" s="61" t="s">
        <v>335</v>
      </c>
      <c r="I142" s="75" t="s">
        <v>2342</v>
      </c>
      <c r="J142" s="63"/>
      <c r="K142" s="85">
        <v>1</v>
      </c>
      <c r="L142" s="84" t="s">
        <v>605</v>
      </c>
      <c r="M142" s="61" t="s">
        <v>100</v>
      </c>
      <c r="N142" t="s">
        <v>54</v>
      </c>
    </row>
    <row r="143" spans="1:15" x14ac:dyDescent="0.25">
      <c r="A143" t="s">
        <v>63</v>
      </c>
      <c r="B143" s="85">
        <v>2</v>
      </c>
      <c r="C143" s="105" t="s">
        <v>2056</v>
      </c>
      <c r="D143" s="57" t="s">
        <v>6457</v>
      </c>
      <c r="E143" s="63"/>
      <c r="F143" s="63"/>
      <c r="G143" s="63" t="s">
        <v>3147</v>
      </c>
      <c r="H143" s="57" t="s">
        <v>2924</v>
      </c>
      <c r="I143" s="63"/>
      <c r="J143" s="63"/>
      <c r="K143" s="85">
        <v>0</v>
      </c>
      <c r="L143" s="85" t="s">
        <v>605</v>
      </c>
      <c r="M143" s="57" t="s">
        <v>91</v>
      </c>
      <c r="N143" t="s">
        <v>54</v>
      </c>
    </row>
    <row r="144" spans="1:15" x14ac:dyDescent="0.25">
      <c r="A144" t="s">
        <v>63</v>
      </c>
      <c r="B144" s="85">
        <v>3</v>
      </c>
      <c r="C144" s="61" t="s">
        <v>181</v>
      </c>
      <c r="D144" s="61" t="s">
        <v>6742</v>
      </c>
      <c r="E144" s="77" t="s">
        <v>1578</v>
      </c>
      <c r="F144" s="61" t="s">
        <v>2181</v>
      </c>
      <c r="G144" s="61" t="s">
        <v>429</v>
      </c>
      <c r="H144" s="61" t="s">
        <v>430</v>
      </c>
      <c r="I144" s="75" t="s">
        <v>2383</v>
      </c>
      <c r="J144" s="63" t="s">
        <v>3442</v>
      </c>
      <c r="K144" s="85">
        <v>0</v>
      </c>
      <c r="L144" s="85">
        <v>0</v>
      </c>
      <c r="M144" s="57" t="s">
        <v>92</v>
      </c>
      <c r="N144" t="s">
        <v>54</v>
      </c>
    </row>
    <row r="145" spans="1:14" x14ac:dyDescent="0.25">
      <c r="A145" t="s">
        <v>63</v>
      </c>
      <c r="B145" s="85">
        <v>4</v>
      </c>
      <c r="C145" s="62" t="s">
        <v>182</v>
      </c>
      <c r="D145" s="62" t="s">
        <v>6735</v>
      </c>
      <c r="E145" s="77" t="s">
        <v>1579</v>
      </c>
      <c r="F145" s="61" t="s">
        <v>2213</v>
      </c>
      <c r="G145" s="63" t="s">
        <v>3162</v>
      </c>
      <c r="H145" s="61" t="s">
        <v>431</v>
      </c>
      <c r="I145" s="75" t="s">
        <v>2384</v>
      </c>
      <c r="J145" s="63"/>
      <c r="K145" s="85">
        <v>0</v>
      </c>
      <c r="L145" s="85">
        <v>0</v>
      </c>
      <c r="M145" s="61" t="s">
        <v>100</v>
      </c>
      <c r="N145" t="s">
        <v>54</v>
      </c>
    </row>
    <row r="146" spans="1:14" x14ac:dyDescent="0.25">
      <c r="A146" t="s">
        <v>63</v>
      </c>
      <c r="B146" s="85">
        <v>5</v>
      </c>
      <c r="C146" s="63" t="s">
        <v>2720</v>
      </c>
      <c r="D146" s="57" t="s">
        <v>3249</v>
      </c>
      <c r="E146" s="63"/>
      <c r="F146" s="63"/>
      <c r="G146" s="63" t="s">
        <v>3148</v>
      </c>
      <c r="H146" s="57" t="s">
        <v>2925</v>
      </c>
      <c r="I146" s="63"/>
      <c r="J146" s="63"/>
      <c r="K146" s="85">
        <v>0</v>
      </c>
      <c r="L146" s="85">
        <v>0</v>
      </c>
      <c r="M146" s="58" t="s">
        <v>3012</v>
      </c>
      <c r="N146" t="s">
        <v>54</v>
      </c>
    </row>
    <row r="147" spans="1:14" x14ac:dyDescent="0.25">
      <c r="A147" t="s">
        <v>63</v>
      </c>
      <c r="B147" s="85">
        <v>6</v>
      </c>
      <c r="C147" s="63" t="s">
        <v>2734</v>
      </c>
      <c r="D147" s="57" t="s">
        <v>3251</v>
      </c>
      <c r="E147" s="63"/>
      <c r="F147" s="63"/>
      <c r="G147" s="63" t="s">
        <v>3163</v>
      </c>
      <c r="H147" s="57" t="s">
        <v>2939</v>
      </c>
      <c r="I147" s="63"/>
      <c r="J147" s="63"/>
      <c r="K147" s="85">
        <v>0</v>
      </c>
      <c r="L147" s="85">
        <v>0</v>
      </c>
      <c r="M147" s="57" t="s">
        <v>100</v>
      </c>
      <c r="N147" t="s">
        <v>54</v>
      </c>
    </row>
    <row r="148" spans="1:14" x14ac:dyDescent="0.25">
      <c r="A148" t="s">
        <v>63</v>
      </c>
      <c r="B148" s="85">
        <v>7</v>
      </c>
      <c r="C148" s="63" t="s">
        <v>2722</v>
      </c>
      <c r="D148" s="57" t="s">
        <v>3250</v>
      </c>
      <c r="E148" s="63"/>
      <c r="F148" s="63"/>
      <c r="G148" s="63" t="s">
        <v>3150</v>
      </c>
      <c r="H148" s="57" t="s">
        <v>2927</v>
      </c>
      <c r="I148" s="63"/>
      <c r="J148" s="63"/>
      <c r="K148" s="85">
        <v>0</v>
      </c>
      <c r="L148" s="85">
        <v>0</v>
      </c>
      <c r="M148" s="58" t="s">
        <v>158</v>
      </c>
      <c r="N148" t="s">
        <v>54</v>
      </c>
    </row>
    <row r="149" spans="1:14" x14ac:dyDescent="0.25">
      <c r="A149" t="s">
        <v>63</v>
      </c>
      <c r="B149" s="85">
        <v>8</v>
      </c>
      <c r="C149" s="63" t="s">
        <v>2735</v>
      </c>
      <c r="D149" s="57" t="s">
        <v>3253</v>
      </c>
      <c r="E149" s="63"/>
      <c r="F149" s="63"/>
      <c r="G149" s="63" t="s">
        <v>3164</v>
      </c>
      <c r="H149" s="57" t="s">
        <v>2940</v>
      </c>
      <c r="I149" s="63"/>
      <c r="J149" s="63"/>
      <c r="K149" s="85">
        <v>0</v>
      </c>
      <c r="L149" s="85">
        <v>0</v>
      </c>
      <c r="M149" s="57" t="s">
        <v>100</v>
      </c>
      <c r="N149" t="s">
        <v>54</v>
      </c>
    </row>
    <row r="150" spans="1:14" x14ac:dyDescent="0.25">
      <c r="A150" t="s">
        <v>63</v>
      </c>
      <c r="B150" s="85">
        <v>9</v>
      </c>
      <c r="C150" s="63" t="s">
        <v>2723</v>
      </c>
      <c r="D150" s="57" t="s">
        <v>3252</v>
      </c>
      <c r="E150" s="63"/>
      <c r="F150" s="63"/>
      <c r="G150" s="63" t="s">
        <v>3151</v>
      </c>
      <c r="H150" s="57" t="s">
        <v>2928</v>
      </c>
      <c r="I150" s="63"/>
      <c r="J150" s="63"/>
      <c r="K150" s="85">
        <v>0</v>
      </c>
      <c r="L150" s="85">
        <v>0</v>
      </c>
      <c r="M150" s="58" t="s">
        <v>183</v>
      </c>
      <c r="N150" t="s">
        <v>54</v>
      </c>
    </row>
    <row r="151" spans="1:14" x14ac:dyDescent="0.25">
      <c r="A151" t="s">
        <v>63</v>
      </c>
      <c r="B151" s="85">
        <v>10</v>
      </c>
      <c r="C151" s="63" t="s">
        <v>2736</v>
      </c>
      <c r="D151" s="57" t="s">
        <v>3261</v>
      </c>
      <c r="E151" s="63"/>
      <c r="F151" s="63"/>
      <c r="G151" s="63" t="s">
        <v>3165</v>
      </c>
      <c r="H151" s="57" t="s">
        <v>2941</v>
      </c>
      <c r="I151" s="63"/>
      <c r="J151" s="63"/>
      <c r="K151" s="85">
        <v>0</v>
      </c>
      <c r="L151" s="85">
        <v>0</v>
      </c>
      <c r="M151" s="57" t="s">
        <v>100</v>
      </c>
      <c r="N151" t="s">
        <v>54</v>
      </c>
    </row>
    <row r="152" spans="1:14" x14ac:dyDescent="0.25">
      <c r="A152" t="s">
        <v>63</v>
      </c>
      <c r="B152" s="85">
        <v>11</v>
      </c>
      <c r="C152" s="63" t="s">
        <v>2724</v>
      </c>
      <c r="D152" s="57" t="s">
        <v>6736</v>
      </c>
      <c r="E152" s="63"/>
      <c r="F152" s="63"/>
      <c r="G152" s="63" t="s">
        <v>3152</v>
      </c>
      <c r="H152" s="57" t="s">
        <v>2929</v>
      </c>
      <c r="I152" s="63"/>
      <c r="J152" s="63"/>
      <c r="K152" s="85">
        <v>0</v>
      </c>
      <c r="L152" s="85">
        <v>0</v>
      </c>
      <c r="M152" s="58" t="s">
        <v>184</v>
      </c>
      <c r="N152" t="s">
        <v>54</v>
      </c>
    </row>
    <row r="153" spans="1:14" x14ac:dyDescent="0.25">
      <c r="A153" t="s">
        <v>63</v>
      </c>
      <c r="B153" s="85">
        <v>12</v>
      </c>
      <c r="C153" s="63" t="s">
        <v>2728</v>
      </c>
      <c r="D153" s="57" t="s">
        <v>3254</v>
      </c>
      <c r="E153" s="63"/>
      <c r="F153" s="63"/>
      <c r="G153" s="63" t="s">
        <v>3156</v>
      </c>
      <c r="H153" s="57" t="s">
        <v>2933</v>
      </c>
      <c r="I153" s="63"/>
      <c r="J153" s="63"/>
      <c r="K153" s="85">
        <v>0</v>
      </c>
      <c r="L153" s="85">
        <v>0</v>
      </c>
      <c r="M153" s="58" t="s">
        <v>3016</v>
      </c>
      <c r="N153" t="s">
        <v>54</v>
      </c>
    </row>
    <row r="154" spans="1:14" x14ac:dyDescent="0.25">
      <c r="A154" t="s">
        <v>63</v>
      </c>
      <c r="B154" s="85">
        <v>13</v>
      </c>
      <c r="C154" s="63" t="s">
        <v>2726</v>
      </c>
      <c r="D154" s="57" t="s">
        <v>3255</v>
      </c>
      <c r="E154" s="63"/>
      <c r="F154" s="63"/>
      <c r="G154" s="63" t="s">
        <v>3154</v>
      </c>
      <c r="H154" s="57" t="s">
        <v>2931</v>
      </c>
      <c r="I154" s="63"/>
      <c r="J154" s="63"/>
      <c r="K154" s="85">
        <v>0</v>
      </c>
      <c r="L154" s="85">
        <v>0</v>
      </c>
      <c r="M154" s="58" t="s">
        <v>3014</v>
      </c>
      <c r="N154" t="s">
        <v>54</v>
      </c>
    </row>
    <row r="155" spans="1:14" x14ac:dyDescent="0.25">
      <c r="A155" t="s">
        <v>63</v>
      </c>
      <c r="B155" s="85">
        <v>14</v>
      </c>
      <c r="C155" s="63" t="s">
        <v>2731</v>
      </c>
      <c r="D155" s="57" t="s">
        <v>3256</v>
      </c>
      <c r="E155" s="63"/>
      <c r="F155" s="63"/>
      <c r="G155" s="63" t="s">
        <v>3159</v>
      </c>
      <c r="H155" s="57" t="s">
        <v>2936</v>
      </c>
      <c r="I155" s="63"/>
      <c r="J155" s="63"/>
      <c r="K155" s="85">
        <v>0</v>
      </c>
      <c r="L155" s="85">
        <v>0</v>
      </c>
      <c r="M155" s="58" t="s">
        <v>3019</v>
      </c>
      <c r="N155" t="s">
        <v>54</v>
      </c>
    </row>
    <row r="156" spans="1:14" x14ac:dyDescent="0.25">
      <c r="A156" t="s">
        <v>63</v>
      </c>
      <c r="B156" s="85">
        <v>15</v>
      </c>
      <c r="C156" s="63" t="s">
        <v>2727</v>
      </c>
      <c r="D156" s="57" t="s">
        <v>3257</v>
      </c>
      <c r="E156" s="63"/>
      <c r="F156" s="63"/>
      <c r="G156" s="63" t="s">
        <v>3155</v>
      </c>
      <c r="H156" s="57" t="s">
        <v>2932</v>
      </c>
      <c r="I156" s="63"/>
      <c r="J156" s="63"/>
      <c r="K156" s="85">
        <v>0</v>
      </c>
      <c r="L156" s="85">
        <v>0</v>
      </c>
      <c r="M156" s="58" t="s">
        <v>3015</v>
      </c>
      <c r="N156" t="s">
        <v>54</v>
      </c>
    </row>
    <row r="157" spans="1:14" x14ac:dyDescent="0.25">
      <c r="A157" t="s">
        <v>63</v>
      </c>
      <c r="B157" s="85">
        <v>16</v>
      </c>
      <c r="C157" s="63" t="s">
        <v>2730</v>
      </c>
      <c r="D157" s="57" t="s">
        <v>3260</v>
      </c>
      <c r="E157" s="63"/>
      <c r="F157" s="63"/>
      <c r="G157" s="63" t="s">
        <v>3158</v>
      </c>
      <c r="H157" s="57" t="s">
        <v>2935</v>
      </c>
      <c r="I157" s="63"/>
      <c r="J157" s="63"/>
      <c r="K157" s="85">
        <v>0</v>
      </c>
      <c r="L157" s="85">
        <v>0</v>
      </c>
      <c r="M157" s="58" t="s">
        <v>3018</v>
      </c>
      <c r="N157" t="s">
        <v>54</v>
      </c>
    </row>
    <row r="158" spans="1:14" x14ac:dyDescent="0.25">
      <c r="A158" t="s">
        <v>63</v>
      </c>
      <c r="B158" s="85">
        <v>17</v>
      </c>
      <c r="C158" s="63" t="s">
        <v>2725</v>
      </c>
      <c r="D158" s="57" t="s">
        <v>3258</v>
      </c>
      <c r="E158" s="63"/>
      <c r="F158" s="63"/>
      <c r="G158" s="63" t="s">
        <v>3153</v>
      </c>
      <c r="H158" s="57" t="s">
        <v>2930</v>
      </c>
      <c r="I158" s="63"/>
      <c r="J158" s="63"/>
      <c r="K158" s="85">
        <v>0</v>
      </c>
      <c r="L158" s="85">
        <v>0</v>
      </c>
      <c r="M158" s="58" t="s">
        <v>3013</v>
      </c>
      <c r="N158" t="s">
        <v>54</v>
      </c>
    </row>
    <row r="159" spans="1:14" x14ac:dyDescent="0.25">
      <c r="A159" t="s">
        <v>63</v>
      </c>
      <c r="B159" s="85">
        <v>18</v>
      </c>
      <c r="C159" s="63" t="s">
        <v>2729</v>
      </c>
      <c r="D159" s="57" t="s">
        <v>3259</v>
      </c>
      <c r="E159" s="63"/>
      <c r="F159" s="63"/>
      <c r="G159" s="63" t="s">
        <v>3157</v>
      </c>
      <c r="H159" s="57" t="s">
        <v>2934</v>
      </c>
      <c r="I159" s="63"/>
      <c r="J159" s="63"/>
      <c r="K159" s="85">
        <v>0</v>
      </c>
      <c r="L159" s="85">
        <v>0</v>
      </c>
      <c r="M159" s="58" t="s">
        <v>3017</v>
      </c>
      <c r="N159" t="s">
        <v>54</v>
      </c>
    </row>
    <row r="160" spans="1:14" x14ac:dyDescent="0.25">
      <c r="A160" t="s">
        <v>63</v>
      </c>
      <c r="B160" s="87">
        <v>19</v>
      </c>
      <c r="C160" s="63" t="s">
        <v>2732</v>
      </c>
      <c r="D160" s="60" t="s">
        <v>6650</v>
      </c>
      <c r="E160" s="63"/>
      <c r="F160" s="63"/>
      <c r="G160" s="63" t="s">
        <v>3160</v>
      </c>
      <c r="H160" s="60" t="s">
        <v>2937</v>
      </c>
      <c r="I160" s="63"/>
      <c r="J160" s="63"/>
      <c r="K160" s="87">
        <v>0</v>
      </c>
      <c r="L160" s="85">
        <v>0</v>
      </c>
      <c r="M160" s="59" t="s">
        <v>3020</v>
      </c>
      <c r="N160" t="s">
        <v>54</v>
      </c>
    </row>
    <row r="161" spans="1:15" x14ac:dyDescent="0.25">
      <c r="A161" t="s">
        <v>63</v>
      </c>
      <c r="B161" s="85">
        <v>20</v>
      </c>
      <c r="C161" s="63" t="s">
        <v>2733</v>
      </c>
      <c r="D161" s="60" t="s">
        <v>6669</v>
      </c>
      <c r="E161" s="63"/>
      <c r="F161" s="63"/>
      <c r="G161" s="63" t="s">
        <v>3161</v>
      </c>
      <c r="H161" s="57" t="s">
        <v>2938</v>
      </c>
      <c r="I161" s="63"/>
      <c r="J161" s="63" t="s">
        <v>3725</v>
      </c>
      <c r="K161" s="85">
        <v>0</v>
      </c>
      <c r="L161" s="85">
        <v>0</v>
      </c>
      <c r="M161" s="57" t="s">
        <v>92</v>
      </c>
      <c r="N161" t="s">
        <v>54</v>
      </c>
    </row>
    <row r="162" spans="1:15" x14ac:dyDescent="0.25">
      <c r="A162" t="s">
        <v>63</v>
      </c>
      <c r="B162" s="85">
        <v>21</v>
      </c>
      <c r="C162" s="61" t="s">
        <v>180</v>
      </c>
      <c r="D162" s="64" t="s">
        <v>1899</v>
      </c>
      <c r="E162" s="77" t="s">
        <v>1577</v>
      </c>
      <c r="F162" s="62" t="s">
        <v>2181</v>
      </c>
      <c r="G162" s="61" t="s">
        <v>427</v>
      </c>
      <c r="H162" s="61" t="s">
        <v>428</v>
      </c>
      <c r="I162" s="75" t="s">
        <v>2382</v>
      </c>
      <c r="J162" s="63"/>
      <c r="K162" s="85">
        <v>0</v>
      </c>
      <c r="L162" s="85">
        <v>0</v>
      </c>
      <c r="M162" s="61" t="s">
        <v>91</v>
      </c>
      <c r="N162" t="s">
        <v>54</v>
      </c>
    </row>
    <row r="163" spans="1:15" x14ac:dyDescent="0.25">
      <c r="A163" s="144" t="s">
        <v>56</v>
      </c>
      <c r="B163" s="141">
        <v>-99</v>
      </c>
      <c r="C163" s="91" t="s">
        <v>292</v>
      </c>
      <c r="E163" s="91"/>
      <c r="G163" s="91" t="s">
        <v>292</v>
      </c>
      <c r="H163" s="139" t="s">
        <v>292</v>
      </c>
      <c r="J163" s="91"/>
      <c r="K163" s="136"/>
      <c r="L163" s="136"/>
      <c r="M163" s="92"/>
      <c r="N163" s="138" t="s">
        <v>54</v>
      </c>
      <c r="O163" s="92"/>
    </row>
    <row r="164" spans="1:15" x14ac:dyDescent="0.25">
      <c r="A164" s="123" t="s">
        <v>56</v>
      </c>
      <c r="B164" s="124">
        <v>0</v>
      </c>
      <c r="C164" s="125" t="s">
        <v>93</v>
      </c>
      <c r="D164" s="127" t="s">
        <v>1927</v>
      </c>
      <c r="E164" s="126" t="s">
        <v>2139</v>
      </c>
      <c r="F164" s="125" t="s">
        <v>2187</v>
      </c>
      <c r="G164" s="125" t="s">
        <v>277</v>
      </c>
      <c r="H164" s="125" t="s">
        <v>278</v>
      </c>
      <c r="I164" s="125" t="s">
        <v>2320</v>
      </c>
      <c r="J164" s="127"/>
      <c r="K164" s="124">
        <v>1</v>
      </c>
      <c r="L164" s="124" t="s">
        <v>605</v>
      </c>
      <c r="M164" s="125" t="s">
        <v>91</v>
      </c>
      <c r="N164" s="123" t="s">
        <v>54</v>
      </c>
      <c r="O164" s="123"/>
    </row>
    <row r="165" spans="1:15" x14ac:dyDescent="0.25">
      <c r="A165" s="144" t="s">
        <v>56</v>
      </c>
      <c r="B165" s="141">
        <v>0</v>
      </c>
      <c r="C165" s="91" t="s">
        <v>2616</v>
      </c>
      <c r="E165" s="91"/>
      <c r="G165" s="91" t="s">
        <v>3039</v>
      </c>
      <c r="H165" s="91" t="s">
        <v>2820</v>
      </c>
      <c r="J165" s="91"/>
      <c r="K165" s="136"/>
      <c r="L165" s="136"/>
      <c r="M165" s="91" t="s">
        <v>100</v>
      </c>
      <c r="N165" s="138" t="s">
        <v>54</v>
      </c>
      <c r="O165" s="92"/>
    </row>
    <row r="166" spans="1:15" x14ac:dyDescent="0.25">
      <c r="A166" t="s">
        <v>56</v>
      </c>
      <c r="B166" s="85">
        <v>1</v>
      </c>
      <c r="C166" s="61" t="s">
        <v>119</v>
      </c>
      <c r="D166" s="63" t="s">
        <v>1926</v>
      </c>
      <c r="E166" s="77" t="s">
        <v>1534</v>
      </c>
      <c r="F166" s="61" t="s">
        <v>2155</v>
      </c>
      <c r="G166" s="61" t="s">
        <v>324</v>
      </c>
      <c r="H166" s="61" t="s">
        <v>325</v>
      </c>
      <c r="I166" s="75" t="s">
        <v>2339</v>
      </c>
      <c r="J166" s="63"/>
      <c r="K166" s="85">
        <v>1</v>
      </c>
      <c r="L166" s="84" t="s">
        <v>605</v>
      </c>
      <c r="M166" s="61" t="s">
        <v>100</v>
      </c>
      <c r="N166" t="s">
        <v>54</v>
      </c>
    </row>
    <row r="167" spans="1:15" x14ac:dyDescent="0.25">
      <c r="A167" t="s">
        <v>56</v>
      </c>
      <c r="B167" s="85">
        <v>2</v>
      </c>
      <c r="C167" s="63" t="s">
        <v>2617</v>
      </c>
      <c r="D167" s="57" t="s">
        <v>3797</v>
      </c>
      <c r="E167" s="63"/>
      <c r="F167" s="63"/>
      <c r="G167" s="63" t="s">
        <v>3040</v>
      </c>
      <c r="H167" s="57" t="s">
        <v>2821</v>
      </c>
      <c r="I167" s="63"/>
      <c r="J167" s="63"/>
      <c r="K167" s="85">
        <v>0</v>
      </c>
      <c r="L167" s="85" t="s">
        <v>605</v>
      </c>
      <c r="M167" s="57" t="s">
        <v>91</v>
      </c>
      <c r="N167" t="s">
        <v>54</v>
      </c>
    </row>
    <row r="168" spans="1:15" x14ac:dyDescent="0.25">
      <c r="A168" t="s">
        <v>56</v>
      </c>
      <c r="B168" s="85">
        <v>3</v>
      </c>
      <c r="C168" s="61" t="s">
        <v>150</v>
      </c>
      <c r="D168" s="63" t="s">
        <v>1952</v>
      </c>
      <c r="E168" s="77" t="s">
        <v>1561</v>
      </c>
      <c r="F168" s="61" t="s">
        <v>2185</v>
      </c>
      <c r="G168" s="61" t="s">
        <v>379</v>
      </c>
      <c r="H168" s="61" t="s">
        <v>380</v>
      </c>
      <c r="I168" s="75" t="s">
        <v>2357</v>
      </c>
      <c r="J168" s="63"/>
      <c r="K168" s="85">
        <v>1</v>
      </c>
      <c r="L168" s="84" t="s">
        <v>605</v>
      </c>
      <c r="M168" s="61" t="s">
        <v>92</v>
      </c>
      <c r="N168" t="s">
        <v>54</v>
      </c>
    </row>
    <row r="169" spans="1:15" x14ac:dyDescent="0.25">
      <c r="A169" t="s">
        <v>56</v>
      </c>
      <c r="B169" s="85">
        <v>4</v>
      </c>
      <c r="C169" s="61" t="s">
        <v>148</v>
      </c>
      <c r="D169" s="63" t="s">
        <v>1921</v>
      </c>
      <c r="E169" s="77" t="s">
        <v>1559</v>
      </c>
      <c r="F169" s="61" t="s">
        <v>2186</v>
      </c>
      <c r="G169" s="61" t="s">
        <v>375</v>
      </c>
      <c r="H169" s="61" t="s">
        <v>376</v>
      </c>
      <c r="I169" s="75" t="s">
        <v>2355</v>
      </c>
      <c r="J169" s="63"/>
      <c r="K169" s="85">
        <v>1</v>
      </c>
      <c r="L169" s="84" t="s">
        <v>605</v>
      </c>
      <c r="M169" s="61" t="s">
        <v>92</v>
      </c>
      <c r="N169" t="s">
        <v>54</v>
      </c>
    </row>
    <row r="170" spans="1:15" x14ac:dyDescent="0.25">
      <c r="A170" t="s">
        <v>56</v>
      </c>
      <c r="B170" s="85">
        <v>5</v>
      </c>
      <c r="C170" s="104" t="s">
        <v>141</v>
      </c>
      <c r="D170" s="63" t="s">
        <v>362</v>
      </c>
      <c r="E170" s="77" t="s">
        <v>1552</v>
      </c>
      <c r="F170" s="61" t="s">
        <v>2169</v>
      </c>
      <c r="G170" s="61" t="s">
        <v>361</v>
      </c>
      <c r="H170" s="61" t="s">
        <v>362</v>
      </c>
      <c r="I170" s="75" t="s">
        <v>2169</v>
      </c>
      <c r="J170" s="63"/>
      <c r="K170" s="85">
        <v>0</v>
      </c>
      <c r="L170" s="85" t="s">
        <v>605</v>
      </c>
      <c r="M170" s="61" t="s">
        <v>91</v>
      </c>
      <c r="N170" t="s">
        <v>54</v>
      </c>
    </row>
    <row r="171" spans="1:15" x14ac:dyDescent="0.25">
      <c r="A171" t="s">
        <v>56</v>
      </c>
      <c r="B171" s="85">
        <v>6</v>
      </c>
      <c r="C171" s="61" t="s">
        <v>142</v>
      </c>
      <c r="D171" s="63" t="s">
        <v>1936</v>
      </c>
      <c r="E171" s="77" t="s">
        <v>1553</v>
      </c>
      <c r="F171" s="61" t="s">
        <v>2171</v>
      </c>
      <c r="G171" s="61" t="s">
        <v>363</v>
      </c>
      <c r="H171" s="61" t="s">
        <v>364</v>
      </c>
      <c r="I171" s="75" t="s">
        <v>2349</v>
      </c>
      <c r="J171" s="63"/>
      <c r="K171" s="85">
        <v>0</v>
      </c>
      <c r="L171" s="85">
        <v>0</v>
      </c>
      <c r="M171" s="61" t="s">
        <v>91</v>
      </c>
      <c r="N171" t="s">
        <v>54</v>
      </c>
    </row>
    <row r="172" spans="1:15" x14ac:dyDescent="0.25">
      <c r="A172" t="s">
        <v>56</v>
      </c>
      <c r="B172" s="85">
        <v>7</v>
      </c>
      <c r="C172" s="63" t="s">
        <v>2618</v>
      </c>
      <c r="D172" s="57" t="s">
        <v>3798</v>
      </c>
      <c r="E172" s="63"/>
      <c r="F172" s="63"/>
      <c r="G172" s="63" t="s">
        <v>3041</v>
      </c>
      <c r="H172" s="57" t="s">
        <v>2822</v>
      </c>
      <c r="I172" s="63"/>
      <c r="J172" s="63"/>
      <c r="K172" s="85">
        <v>0</v>
      </c>
      <c r="L172" s="85">
        <v>0</v>
      </c>
      <c r="M172" s="57" t="s">
        <v>91</v>
      </c>
      <c r="N172" t="s">
        <v>54</v>
      </c>
    </row>
    <row r="173" spans="1:15" x14ac:dyDescent="0.25">
      <c r="A173" t="s">
        <v>56</v>
      </c>
      <c r="B173" s="85">
        <v>8</v>
      </c>
      <c r="C173" s="61" t="s">
        <v>143</v>
      </c>
      <c r="D173" s="63" t="s">
        <v>1945</v>
      </c>
      <c r="E173" s="77" t="s">
        <v>1554</v>
      </c>
      <c r="F173" s="61" t="s">
        <v>2172</v>
      </c>
      <c r="G173" s="61" t="s">
        <v>365</v>
      </c>
      <c r="H173" s="61" t="s">
        <v>366</v>
      </c>
      <c r="I173" s="75" t="s">
        <v>2350</v>
      </c>
      <c r="J173" s="63"/>
      <c r="K173" s="85">
        <v>0</v>
      </c>
      <c r="L173" s="85">
        <v>0</v>
      </c>
      <c r="M173" s="61" t="s">
        <v>91</v>
      </c>
      <c r="N173" t="s">
        <v>54</v>
      </c>
    </row>
    <row r="174" spans="1:15" x14ac:dyDescent="0.25">
      <c r="A174" t="s">
        <v>56</v>
      </c>
      <c r="B174" s="85">
        <v>9</v>
      </c>
      <c r="C174" s="61" t="s">
        <v>144</v>
      </c>
      <c r="D174" s="63" t="s">
        <v>1939</v>
      </c>
      <c r="E174" s="77" t="s">
        <v>1555</v>
      </c>
      <c r="F174" s="61" t="s">
        <v>2173</v>
      </c>
      <c r="G174" s="61" t="s">
        <v>367</v>
      </c>
      <c r="H174" s="61" t="s">
        <v>368</v>
      </c>
      <c r="I174" s="75" t="s">
        <v>2351</v>
      </c>
      <c r="J174" s="63"/>
      <c r="K174" s="85">
        <v>0</v>
      </c>
      <c r="L174" s="85">
        <v>2</v>
      </c>
      <c r="M174" s="61" t="s">
        <v>138</v>
      </c>
      <c r="N174" t="s">
        <v>54</v>
      </c>
    </row>
    <row r="175" spans="1:15" x14ac:dyDescent="0.25">
      <c r="A175" t="s">
        <v>56</v>
      </c>
      <c r="B175" s="85">
        <v>10</v>
      </c>
      <c r="C175" s="61" t="s">
        <v>145</v>
      </c>
      <c r="D175" s="63" t="s">
        <v>1940</v>
      </c>
      <c r="E175" s="77" t="s">
        <v>1556</v>
      </c>
      <c r="F175" s="61" t="s">
        <v>2174</v>
      </c>
      <c r="G175" s="61" t="s">
        <v>369</v>
      </c>
      <c r="H175" s="61" t="s">
        <v>370</v>
      </c>
      <c r="I175" s="75" t="s">
        <v>2352</v>
      </c>
      <c r="J175" s="63"/>
      <c r="K175" s="85">
        <v>0</v>
      </c>
      <c r="L175" s="85">
        <v>2</v>
      </c>
      <c r="M175" s="61" t="s">
        <v>138</v>
      </c>
      <c r="N175" t="s">
        <v>54</v>
      </c>
    </row>
    <row r="176" spans="1:15" x14ac:dyDescent="0.25">
      <c r="A176" t="s">
        <v>56</v>
      </c>
      <c r="B176" s="85">
        <v>11</v>
      </c>
      <c r="C176" s="61" t="s">
        <v>146</v>
      </c>
      <c r="D176" s="63" t="s">
        <v>1941</v>
      </c>
      <c r="E176" s="77" t="s">
        <v>1557</v>
      </c>
      <c r="F176" s="61" t="s">
        <v>2175</v>
      </c>
      <c r="G176" s="61" t="s">
        <v>371</v>
      </c>
      <c r="H176" s="61" t="s">
        <v>372</v>
      </c>
      <c r="I176" s="75" t="s">
        <v>2353</v>
      </c>
      <c r="J176" s="63"/>
      <c r="K176" s="85">
        <v>0</v>
      </c>
      <c r="L176" s="85">
        <v>1</v>
      </c>
      <c r="M176" s="61" t="s">
        <v>139</v>
      </c>
      <c r="N176" t="s">
        <v>54</v>
      </c>
    </row>
    <row r="177" spans="1:14" x14ac:dyDescent="0.25">
      <c r="A177" t="s">
        <v>56</v>
      </c>
      <c r="B177" s="85">
        <v>12</v>
      </c>
      <c r="C177" s="63" t="s">
        <v>2621</v>
      </c>
      <c r="D177" s="57" t="s">
        <v>3799</v>
      </c>
      <c r="E177" s="63"/>
      <c r="F177" s="63"/>
      <c r="G177" s="63" t="s">
        <v>3044</v>
      </c>
      <c r="H177" s="57" t="s">
        <v>2825</v>
      </c>
      <c r="I177" s="63"/>
      <c r="J177" s="63"/>
      <c r="K177" s="85">
        <v>0</v>
      </c>
      <c r="L177" s="85">
        <v>0</v>
      </c>
      <c r="M177" s="57" t="s">
        <v>91</v>
      </c>
      <c r="N177" t="s">
        <v>54</v>
      </c>
    </row>
    <row r="178" spans="1:14" x14ac:dyDescent="0.25">
      <c r="A178" t="s">
        <v>56</v>
      </c>
      <c r="B178" s="85">
        <v>13</v>
      </c>
      <c r="C178" s="63" t="s">
        <v>2620</v>
      </c>
      <c r="D178" s="57" t="s">
        <v>3800</v>
      </c>
      <c r="E178" s="63"/>
      <c r="F178" s="63"/>
      <c r="G178" s="63" t="s">
        <v>3043</v>
      </c>
      <c r="H178" s="57" t="s">
        <v>2824</v>
      </c>
      <c r="I178" s="63"/>
      <c r="J178" s="63"/>
      <c r="K178" s="85">
        <v>0</v>
      </c>
      <c r="L178" s="85">
        <v>0</v>
      </c>
      <c r="M178" s="57" t="s">
        <v>91</v>
      </c>
      <c r="N178" t="s">
        <v>54</v>
      </c>
    </row>
    <row r="179" spans="1:14" x14ac:dyDescent="0.25">
      <c r="A179" t="s">
        <v>56</v>
      </c>
      <c r="B179" s="85">
        <v>14</v>
      </c>
      <c r="C179" s="63" t="s">
        <v>2619</v>
      </c>
      <c r="D179" s="69" t="s">
        <v>3400</v>
      </c>
      <c r="E179" s="63"/>
      <c r="F179" s="63"/>
      <c r="G179" s="63" t="s">
        <v>3042</v>
      </c>
      <c r="H179" s="57" t="s">
        <v>2823</v>
      </c>
      <c r="I179" s="63"/>
      <c r="J179" s="63" t="s">
        <v>3442</v>
      </c>
      <c r="K179" s="85">
        <v>0</v>
      </c>
      <c r="L179" s="85">
        <v>0</v>
      </c>
      <c r="M179" s="57" t="s">
        <v>91</v>
      </c>
      <c r="N179" t="s">
        <v>54</v>
      </c>
    </row>
    <row r="180" spans="1:14" x14ac:dyDescent="0.25">
      <c r="A180" t="s">
        <v>56</v>
      </c>
      <c r="B180" s="85">
        <v>15</v>
      </c>
      <c r="C180" s="64" t="s">
        <v>2622</v>
      </c>
      <c r="D180" s="57" t="s">
        <v>3801</v>
      </c>
      <c r="E180" s="63"/>
      <c r="F180" s="63"/>
      <c r="G180" s="63" t="s">
        <v>3045</v>
      </c>
      <c r="H180" s="57" t="s">
        <v>2826</v>
      </c>
      <c r="I180" s="63"/>
      <c r="J180" s="64"/>
      <c r="K180" s="85">
        <v>0</v>
      </c>
      <c r="L180" s="85">
        <v>0</v>
      </c>
      <c r="M180" s="57" t="s">
        <v>92</v>
      </c>
      <c r="N180" t="s">
        <v>54</v>
      </c>
    </row>
    <row r="181" spans="1:14" x14ac:dyDescent="0.25">
      <c r="A181" t="s">
        <v>56</v>
      </c>
      <c r="B181" s="85">
        <v>16</v>
      </c>
      <c r="C181" s="61" t="s">
        <v>147</v>
      </c>
      <c r="D181" s="63" t="s">
        <v>1951</v>
      </c>
      <c r="E181" s="77" t="s">
        <v>1558</v>
      </c>
      <c r="F181" s="61" t="s">
        <v>2176</v>
      </c>
      <c r="G181" s="61" t="s">
        <v>373</v>
      </c>
      <c r="H181" s="61" t="s">
        <v>374</v>
      </c>
      <c r="I181" s="75" t="s">
        <v>2354</v>
      </c>
      <c r="J181" s="63"/>
      <c r="K181" s="85">
        <v>0</v>
      </c>
      <c r="L181" s="85">
        <v>0</v>
      </c>
      <c r="M181" s="61" t="s">
        <v>140</v>
      </c>
      <c r="N181" t="s">
        <v>54</v>
      </c>
    </row>
    <row r="182" spans="1:14" x14ac:dyDescent="0.25">
      <c r="A182" t="s">
        <v>56</v>
      </c>
      <c r="B182" s="85">
        <v>17</v>
      </c>
      <c r="C182" s="63" t="s">
        <v>2623</v>
      </c>
      <c r="D182" s="57" t="s">
        <v>3236</v>
      </c>
      <c r="E182" s="63"/>
      <c r="F182" s="63"/>
      <c r="G182" s="63" t="s">
        <v>3046</v>
      </c>
      <c r="H182" s="57" t="s">
        <v>2827</v>
      </c>
      <c r="I182" s="63"/>
      <c r="J182" s="63"/>
      <c r="K182" s="85">
        <v>0</v>
      </c>
      <c r="L182" s="85">
        <v>0</v>
      </c>
      <c r="M182" s="57" t="s">
        <v>139</v>
      </c>
      <c r="N182" t="s">
        <v>54</v>
      </c>
    </row>
    <row r="183" spans="1:14" x14ac:dyDescent="0.25">
      <c r="A183" t="s">
        <v>56</v>
      </c>
      <c r="B183" s="85">
        <v>18</v>
      </c>
      <c r="C183" s="63" t="s">
        <v>2624</v>
      </c>
      <c r="D183" s="69" t="s">
        <v>3239</v>
      </c>
      <c r="E183" s="63"/>
      <c r="F183" s="63"/>
      <c r="G183" s="63" t="s">
        <v>3047</v>
      </c>
      <c r="H183" s="57" t="s">
        <v>2828</v>
      </c>
      <c r="I183" s="63"/>
      <c r="J183" s="63"/>
      <c r="K183" s="85">
        <v>0</v>
      </c>
      <c r="L183" s="85">
        <v>0</v>
      </c>
      <c r="M183" s="57" t="s">
        <v>91</v>
      </c>
      <c r="N183" t="s">
        <v>54</v>
      </c>
    </row>
    <row r="184" spans="1:14" x14ac:dyDescent="0.25">
      <c r="A184" t="s">
        <v>56</v>
      </c>
      <c r="B184" s="85">
        <v>19</v>
      </c>
      <c r="C184" s="63" t="s">
        <v>2626</v>
      </c>
      <c r="D184" s="57" t="s">
        <v>3242</v>
      </c>
      <c r="E184" s="63"/>
      <c r="F184" s="63"/>
      <c r="G184" s="63" t="s">
        <v>3049</v>
      </c>
      <c r="H184" s="57" t="s">
        <v>2830</v>
      </c>
      <c r="I184" s="63"/>
      <c r="J184" s="63"/>
      <c r="K184" s="85">
        <v>0</v>
      </c>
      <c r="L184" s="85">
        <v>0</v>
      </c>
      <c r="M184" s="57" t="s">
        <v>2300</v>
      </c>
      <c r="N184" t="s">
        <v>54</v>
      </c>
    </row>
    <row r="185" spans="1:14" x14ac:dyDescent="0.25">
      <c r="A185" t="s">
        <v>56</v>
      </c>
      <c r="B185" s="85">
        <v>20</v>
      </c>
      <c r="C185" s="63" t="s">
        <v>2627</v>
      </c>
      <c r="D185" s="57" t="s">
        <v>3243</v>
      </c>
      <c r="E185" s="63"/>
      <c r="F185" s="63"/>
      <c r="G185" s="63" t="s">
        <v>3050</v>
      </c>
      <c r="H185" s="57" t="s">
        <v>2831</v>
      </c>
      <c r="I185" s="63"/>
      <c r="J185" s="63"/>
      <c r="K185" s="85">
        <v>0</v>
      </c>
      <c r="L185" s="85">
        <v>0</v>
      </c>
      <c r="M185" s="57" t="s">
        <v>164</v>
      </c>
      <c r="N185" t="s">
        <v>54</v>
      </c>
    </row>
    <row r="186" spans="1:14" x14ac:dyDescent="0.25">
      <c r="A186" t="s">
        <v>56</v>
      </c>
      <c r="B186" s="85">
        <v>21</v>
      </c>
      <c r="C186" s="63" t="s">
        <v>2628</v>
      </c>
      <c r="D186" s="57" t="s">
        <v>2832</v>
      </c>
      <c r="E186" s="63"/>
      <c r="F186" s="63"/>
      <c r="G186" s="63" t="s">
        <v>3051</v>
      </c>
      <c r="H186" s="57" t="s">
        <v>2832</v>
      </c>
      <c r="I186" s="63"/>
      <c r="J186" s="63"/>
      <c r="K186" s="85">
        <v>0</v>
      </c>
      <c r="L186" s="85">
        <v>0</v>
      </c>
      <c r="M186" s="57" t="s">
        <v>100</v>
      </c>
      <c r="N186" t="s">
        <v>54</v>
      </c>
    </row>
    <row r="187" spans="1:14" x14ac:dyDescent="0.25">
      <c r="A187" t="s">
        <v>56</v>
      </c>
      <c r="B187" s="85">
        <v>22</v>
      </c>
      <c r="C187" s="63" t="s">
        <v>2629</v>
      </c>
      <c r="D187" s="57" t="s">
        <v>3240</v>
      </c>
      <c r="E187" s="63"/>
      <c r="F187" s="63"/>
      <c r="G187" s="63" t="s">
        <v>3052</v>
      </c>
      <c r="H187" s="57" t="s">
        <v>2833</v>
      </c>
      <c r="I187" s="63"/>
      <c r="J187" s="63"/>
      <c r="K187" s="85">
        <v>0</v>
      </c>
      <c r="L187" s="85">
        <v>0</v>
      </c>
      <c r="M187" s="57" t="s">
        <v>156</v>
      </c>
      <c r="N187" t="s">
        <v>54</v>
      </c>
    </row>
    <row r="188" spans="1:14" x14ac:dyDescent="0.25">
      <c r="A188" t="s">
        <v>56</v>
      </c>
      <c r="B188" s="85">
        <v>23</v>
      </c>
      <c r="C188" s="63" t="s">
        <v>2630</v>
      </c>
      <c r="D188" s="57" t="s">
        <v>3244</v>
      </c>
      <c r="E188" s="63"/>
      <c r="F188" s="63"/>
      <c r="G188" s="63" t="s">
        <v>3053</v>
      </c>
      <c r="H188" s="57" t="s">
        <v>2834</v>
      </c>
      <c r="I188" s="63"/>
      <c r="J188" s="63"/>
      <c r="K188" s="85">
        <v>0</v>
      </c>
      <c r="L188" s="85">
        <v>0</v>
      </c>
      <c r="M188" s="57" t="s">
        <v>100</v>
      </c>
      <c r="N188" t="s">
        <v>54</v>
      </c>
    </row>
    <row r="189" spans="1:14" x14ac:dyDescent="0.25">
      <c r="A189" t="s">
        <v>56</v>
      </c>
      <c r="B189" s="85">
        <v>24</v>
      </c>
      <c r="C189" s="63" t="s">
        <v>2633</v>
      </c>
      <c r="D189" s="57" t="s">
        <v>3245</v>
      </c>
      <c r="E189" s="63"/>
      <c r="F189" s="63"/>
      <c r="G189" s="63" t="s">
        <v>3056</v>
      </c>
      <c r="H189" s="57" t="s">
        <v>2837</v>
      </c>
      <c r="I189" s="63"/>
      <c r="J189" s="63" t="s">
        <v>3443</v>
      </c>
      <c r="K189" s="85">
        <v>0</v>
      </c>
      <c r="L189" s="85">
        <v>0</v>
      </c>
      <c r="M189" s="57" t="s">
        <v>92</v>
      </c>
      <c r="N189" t="s">
        <v>54</v>
      </c>
    </row>
    <row r="190" spans="1:14" x14ac:dyDescent="0.25">
      <c r="A190" t="s">
        <v>56</v>
      </c>
      <c r="B190" s="85">
        <v>25</v>
      </c>
      <c r="C190" s="63" t="s">
        <v>2634</v>
      </c>
      <c r="D190" s="57" t="s">
        <v>3246</v>
      </c>
      <c r="E190" s="63"/>
      <c r="F190" s="63"/>
      <c r="G190" s="63" t="s">
        <v>3057</v>
      </c>
      <c r="H190" s="57" t="s">
        <v>2838</v>
      </c>
      <c r="I190" s="63"/>
      <c r="J190" s="63"/>
      <c r="K190" s="85">
        <v>0</v>
      </c>
      <c r="L190" s="85">
        <v>0</v>
      </c>
      <c r="M190" s="57" t="s">
        <v>156</v>
      </c>
      <c r="N190" t="s">
        <v>54</v>
      </c>
    </row>
    <row r="191" spans="1:14" x14ac:dyDescent="0.25">
      <c r="A191" t="s">
        <v>56</v>
      </c>
      <c r="B191" s="85">
        <v>26</v>
      </c>
      <c r="C191" s="63" t="s">
        <v>2635</v>
      </c>
      <c r="D191" s="57" t="s">
        <v>3237</v>
      </c>
      <c r="E191" s="63"/>
      <c r="F191" s="63"/>
      <c r="G191" s="63" t="s">
        <v>3058</v>
      </c>
      <c r="H191" s="57" t="s">
        <v>2839</v>
      </c>
      <c r="I191" s="63"/>
      <c r="J191" s="63"/>
      <c r="K191" s="85">
        <v>0</v>
      </c>
      <c r="L191" s="85">
        <v>0</v>
      </c>
      <c r="M191" s="57" t="s">
        <v>139</v>
      </c>
      <c r="N191" t="s">
        <v>54</v>
      </c>
    </row>
    <row r="192" spans="1:14" x14ac:dyDescent="0.25">
      <c r="A192" t="s">
        <v>56</v>
      </c>
      <c r="B192" s="85">
        <v>27</v>
      </c>
      <c r="C192" s="63" t="s">
        <v>2636</v>
      </c>
      <c r="D192" s="57" t="s">
        <v>3238</v>
      </c>
      <c r="E192" s="63"/>
      <c r="F192" s="63"/>
      <c r="G192" s="63" t="s">
        <v>3059</v>
      </c>
      <c r="H192" s="57" t="s">
        <v>2840</v>
      </c>
      <c r="I192" s="63"/>
      <c r="J192" s="63"/>
      <c r="K192" s="85">
        <v>0</v>
      </c>
      <c r="L192" s="85">
        <v>0</v>
      </c>
      <c r="M192" s="57" t="s">
        <v>156</v>
      </c>
      <c r="N192" t="s">
        <v>54</v>
      </c>
    </row>
    <row r="193" spans="1:15" x14ac:dyDescent="0.25">
      <c r="A193" t="s">
        <v>56</v>
      </c>
      <c r="B193" s="85">
        <v>28</v>
      </c>
      <c r="C193" s="63" t="s">
        <v>2632</v>
      </c>
      <c r="D193" s="57" t="s">
        <v>3802</v>
      </c>
      <c r="E193" s="63"/>
      <c r="F193" s="63"/>
      <c r="G193" s="63" t="s">
        <v>3055</v>
      </c>
      <c r="H193" s="57" t="s">
        <v>2836</v>
      </c>
      <c r="I193" s="63"/>
      <c r="J193" s="63"/>
      <c r="K193" s="85">
        <v>0</v>
      </c>
      <c r="L193" s="85">
        <v>0</v>
      </c>
      <c r="M193" s="57" t="s">
        <v>92</v>
      </c>
      <c r="N193" t="s">
        <v>54</v>
      </c>
    </row>
    <row r="194" spans="1:15" x14ac:dyDescent="0.25">
      <c r="A194" t="s">
        <v>56</v>
      </c>
      <c r="B194" s="85">
        <v>29</v>
      </c>
      <c r="C194" s="63" t="s">
        <v>2631</v>
      </c>
      <c r="D194" s="57" t="s">
        <v>3248</v>
      </c>
      <c r="E194" s="63"/>
      <c r="F194" s="63"/>
      <c r="G194" s="63" t="s">
        <v>3054</v>
      </c>
      <c r="H194" s="57" t="s">
        <v>2835</v>
      </c>
      <c r="I194" s="63"/>
      <c r="J194" s="63"/>
      <c r="K194" s="85">
        <v>0</v>
      </c>
      <c r="L194" s="85">
        <v>0</v>
      </c>
      <c r="M194" s="57" t="s">
        <v>3004</v>
      </c>
      <c r="N194" t="s">
        <v>54</v>
      </c>
    </row>
    <row r="195" spans="1:15" x14ac:dyDescent="0.25">
      <c r="A195" t="s">
        <v>56</v>
      </c>
      <c r="B195" s="85">
        <v>30</v>
      </c>
      <c r="C195" s="63" t="s">
        <v>2625</v>
      </c>
      <c r="D195" s="57" t="s">
        <v>2829</v>
      </c>
      <c r="E195" s="63"/>
      <c r="F195" s="63"/>
      <c r="G195" s="63" t="s">
        <v>3048</v>
      </c>
      <c r="H195" s="57" t="s">
        <v>2829</v>
      </c>
      <c r="I195" s="63"/>
      <c r="J195" s="63"/>
      <c r="K195" s="85">
        <v>0</v>
      </c>
      <c r="L195" s="85">
        <v>0</v>
      </c>
      <c r="M195" s="57" t="s">
        <v>3003</v>
      </c>
      <c r="N195" t="s">
        <v>54</v>
      </c>
    </row>
    <row r="196" spans="1:15" x14ac:dyDescent="0.25">
      <c r="A196" t="s">
        <v>56</v>
      </c>
      <c r="B196" s="85">
        <v>31</v>
      </c>
      <c r="C196" s="61" t="s">
        <v>151</v>
      </c>
      <c r="D196" s="63" t="s">
        <v>1953</v>
      </c>
      <c r="E196" s="77" t="s">
        <v>1562</v>
      </c>
      <c r="F196" s="61" t="s">
        <v>2203</v>
      </c>
      <c r="G196" s="61" t="s">
        <v>381</v>
      </c>
      <c r="H196" s="61" t="s">
        <v>382</v>
      </c>
      <c r="I196" s="75" t="s">
        <v>2358</v>
      </c>
      <c r="J196" s="63" t="s">
        <v>3447</v>
      </c>
      <c r="K196" s="85">
        <v>0</v>
      </c>
      <c r="L196" s="85">
        <v>0</v>
      </c>
      <c r="M196" s="61" t="s">
        <v>92</v>
      </c>
      <c r="N196" t="s">
        <v>54</v>
      </c>
    </row>
    <row r="197" spans="1:15" x14ac:dyDescent="0.25">
      <c r="A197" t="s">
        <v>56</v>
      </c>
      <c r="B197" s="85">
        <v>32</v>
      </c>
      <c r="C197" s="63" t="s">
        <v>2640</v>
      </c>
      <c r="D197" s="57" t="s">
        <v>3247</v>
      </c>
      <c r="E197" s="63"/>
      <c r="F197" s="63"/>
      <c r="G197" s="63" t="s">
        <v>3063</v>
      </c>
      <c r="H197" s="57" t="s">
        <v>509</v>
      </c>
      <c r="I197" s="63"/>
      <c r="J197" s="63"/>
      <c r="K197" s="85">
        <v>0</v>
      </c>
      <c r="L197" s="85">
        <v>0</v>
      </c>
      <c r="M197" s="57" t="s">
        <v>156</v>
      </c>
      <c r="N197" t="s">
        <v>54</v>
      </c>
    </row>
    <row r="198" spans="1:15" x14ac:dyDescent="0.25">
      <c r="A198" t="s">
        <v>56</v>
      </c>
      <c r="B198" s="85">
        <v>33</v>
      </c>
      <c r="C198" s="63" t="s">
        <v>2639</v>
      </c>
      <c r="D198" s="57" t="s">
        <v>3241</v>
      </c>
      <c r="E198" s="63"/>
      <c r="F198" s="63"/>
      <c r="G198" s="63" t="s">
        <v>3062</v>
      </c>
      <c r="H198" s="57" t="s">
        <v>2843</v>
      </c>
      <c r="I198" s="63"/>
      <c r="J198" s="63"/>
      <c r="K198" s="85">
        <v>0</v>
      </c>
      <c r="L198" s="85">
        <v>0</v>
      </c>
      <c r="M198" s="57" t="s">
        <v>156</v>
      </c>
      <c r="N198" t="s">
        <v>54</v>
      </c>
    </row>
    <row r="199" spans="1:15" x14ac:dyDescent="0.25">
      <c r="A199" t="s">
        <v>56</v>
      </c>
      <c r="B199" s="85">
        <v>34</v>
      </c>
      <c r="C199" s="63" t="s">
        <v>2638</v>
      </c>
      <c r="D199" s="57" t="s">
        <v>3803</v>
      </c>
      <c r="E199" s="63"/>
      <c r="F199" s="63"/>
      <c r="G199" s="63" t="s">
        <v>3061</v>
      </c>
      <c r="H199" s="57" t="s">
        <v>2842</v>
      </c>
      <c r="I199" s="63"/>
      <c r="J199" s="63"/>
      <c r="K199" s="85">
        <v>0</v>
      </c>
      <c r="L199" s="85">
        <v>0</v>
      </c>
      <c r="M199" s="57" t="s">
        <v>91</v>
      </c>
      <c r="N199" t="s">
        <v>54</v>
      </c>
    </row>
    <row r="200" spans="1:15" x14ac:dyDescent="0.25">
      <c r="A200" t="s">
        <v>56</v>
      </c>
      <c r="B200" s="85">
        <v>35</v>
      </c>
      <c r="C200" s="63" t="s">
        <v>2637</v>
      </c>
      <c r="D200" s="57" t="s">
        <v>3804</v>
      </c>
      <c r="E200" s="63"/>
      <c r="F200" s="63"/>
      <c r="G200" s="63" t="s">
        <v>3060</v>
      </c>
      <c r="H200" s="57" t="s">
        <v>2841</v>
      </c>
      <c r="I200" s="63"/>
      <c r="J200" s="63"/>
      <c r="K200" s="85">
        <v>0</v>
      </c>
      <c r="L200" s="85">
        <v>0</v>
      </c>
      <c r="M200" s="57" t="s">
        <v>91</v>
      </c>
      <c r="N200" t="s">
        <v>54</v>
      </c>
    </row>
    <row r="201" spans="1:15" x14ac:dyDescent="0.25">
      <c r="A201" t="s">
        <v>56</v>
      </c>
      <c r="B201" s="85">
        <v>36</v>
      </c>
      <c r="C201" s="61" t="s">
        <v>149</v>
      </c>
      <c r="D201" s="64" t="s">
        <v>2178</v>
      </c>
      <c r="E201" s="77" t="s">
        <v>1560</v>
      </c>
      <c r="F201" s="61" t="s">
        <v>2179</v>
      </c>
      <c r="G201" s="61" t="s">
        <v>377</v>
      </c>
      <c r="H201" s="61" t="s">
        <v>378</v>
      </c>
      <c r="I201" s="75" t="s">
        <v>2356</v>
      </c>
      <c r="J201" s="63"/>
      <c r="K201" s="85">
        <v>0</v>
      </c>
      <c r="L201" s="85">
        <v>0</v>
      </c>
      <c r="M201" s="61" t="s">
        <v>139</v>
      </c>
      <c r="N201" t="s">
        <v>54</v>
      </c>
    </row>
    <row r="202" spans="1:15" x14ac:dyDescent="0.25">
      <c r="A202" t="s">
        <v>56</v>
      </c>
      <c r="B202" s="85">
        <v>37</v>
      </c>
      <c r="C202" s="61" t="s">
        <v>152</v>
      </c>
      <c r="D202" s="63" t="s">
        <v>1899</v>
      </c>
      <c r="E202" s="77" t="s">
        <v>1563</v>
      </c>
      <c r="F202" s="61" t="s">
        <v>2181</v>
      </c>
      <c r="G202" s="61" t="s">
        <v>383</v>
      </c>
      <c r="H202" s="61" t="s">
        <v>384</v>
      </c>
      <c r="I202" s="75" t="s">
        <v>2359</v>
      </c>
      <c r="J202" s="63"/>
      <c r="K202" s="85">
        <v>0</v>
      </c>
      <c r="L202" s="85">
        <v>0</v>
      </c>
      <c r="M202" s="61" t="s">
        <v>91</v>
      </c>
      <c r="N202" t="s">
        <v>54</v>
      </c>
    </row>
    <row r="203" spans="1:15" x14ac:dyDescent="0.25">
      <c r="A203" s="144" t="s">
        <v>55</v>
      </c>
      <c r="B203" s="141">
        <v>-99</v>
      </c>
      <c r="C203" s="91" t="s">
        <v>292</v>
      </c>
      <c r="E203" s="91"/>
      <c r="G203" s="91" t="s">
        <v>292</v>
      </c>
      <c r="H203" s="91" t="s">
        <v>292</v>
      </c>
      <c r="J203" s="91"/>
      <c r="K203" s="136"/>
      <c r="L203" s="136"/>
      <c r="M203" s="92"/>
      <c r="N203" s="138" t="s">
        <v>54</v>
      </c>
      <c r="O203" s="92"/>
    </row>
    <row r="204" spans="1:15" x14ac:dyDescent="0.25">
      <c r="A204" s="123" t="s">
        <v>55</v>
      </c>
      <c r="B204" s="124">
        <v>0</v>
      </c>
      <c r="C204" s="125" t="s">
        <v>93</v>
      </c>
      <c r="D204" s="127" t="s">
        <v>1927</v>
      </c>
      <c r="E204" s="126" t="s">
        <v>2139</v>
      </c>
      <c r="F204" s="125" t="s">
        <v>2187</v>
      </c>
      <c r="G204" s="125" t="s">
        <v>277</v>
      </c>
      <c r="H204" s="125" t="s">
        <v>278</v>
      </c>
      <c r="I204" s="125" t="s">
        <v>2320</v>
      </c>
      <c r="J204" s="127"/>
      <c r="K204" s="124">
        <v>1</v>
      </c>
      <c r="L204" s="124" t="s">
        <v>605</v>
      </c>
      <c r="M204" s="125" t="s">
        <v>91</v>
      </c>
      <c r="N204" s="123" t="s">
        <v>54</v>
      </c>
      <c r="O204" s="123"/>
    </row>
    <row r="205" spans="1:15" x14ac:dyDescent="0.25">
      <c r="A205" t="s">
        <v>55</v>
      </c>
      <c r="B205" s="85">
        <v>1</v>
      </c>
      <c r="C205" s="61" t="s">
        <v>132</v>
      </c>
      <c r="D205" s="63" t="s">
        <v>1926</v>
      </c>
      <c r="E205" s="77" t="s">
        <v>1546</v>
      </c>
      <c r="F205" s="61" t="s">
        <v>2155</v>
      </c>
      <c r="G205" s="61" t="s">
        <v>322</v>
      </c>
      <c r="H205" s="61" t="s">
        <v>350</v>
      </c>
      <c r="I205" s="61" t="s">
        <v>2492</v>
      </c>
      <c r="J205" s="63"/>
      <c r="K205" s="85">
        <v>1</v>
      </c>
      <c r="L205" s="84" t="s">
        <v>605</v>
      </c>
      <c r="M205" s="61" t="s">
        <v>100</v>
      </c>
      <c r="N205" t="s">
        <v>54</v>
      </c>
    </row>
    <row r="206" spans="1:15" x14ac:dyDescent="0.25">
      <c r="A206" t="s">
        <v>55</v>
      </c>
      <c r="B206" s="85">
        <v>2</v>
      </c>
      <c r="C206" s="61" t="s">
        <v>133</v>
      </c>
      <c r="D206" s="63" t="s">
        <v>1948</v>
      </c>
      <c r="E206" s="77" t="s">
        <v>1547</v>
      </c>
      <c r="F206" s="62" t="s">
        <v>2202</v>
      </c>
      <c r="G206" s="61" t="s">
        <v>351</v>
      </c>
      <c r="H206" s="61" t="s">
        <v>352</v>
      </c>
      <c r="I206" s="61" t="s">
        <v>2347</v>
      </c>
      <c r="J206" s="63" t="s">
        <v>3448</v>
      </c>
      <c r="K206" s="85">
        <v>0</v>
      </c>
      <c r="L206" s="85">
        <v>2</v>
      </c>
      <c r="M206" s="61" t="s">
        <v>92</v>
      </c>
      <c r="N206" t="s">
        <v>54</v>
      </c>
    </row>
    <row r="207" spans="1:15" x14ac:dyDescent="0.25">
      <c r="A207" t="s">
        <v>55</v>
      </c>
      <c r="B207" s="85">
        <v>3</v>
      </c>
      <c r="C207" s="61" t="s">
        <v>134</v>
      </c>
      <c r="D207" s="63" t="s">
        <v>1949</v>
      </c>
      <c r="E207" s="77" t="s">
        <v>1548</v>
      </c>
      <c r="F207" s="75" t="s">
        <v>2166</v>
      </c>
      <c r="G207" s="61" t="s">
        <v>353</v>
      </c>
      <c r="H207" s="61" t="s">
        <v>354</v>
      </c>
      <c r="I207" s="61" t="s">
        <v>2505</v>
      </c>
      <c r="J207" s="63"/>
      <c r="K207" s="85">
        <v>0</v>
      </c>
      <c r="L207" s="85">
        <v>1</v>
      </c>
      <c r="M207" s="61" t="s">
        <v>92</v>
      </c>
      <c r="N207" t="s">
        <v>54</v>
      </c>
    </row>
    <row r="208" spans="1:15" x14ac:dyDescent="0.25">
      <c r="A208" t="s">
        <v>55</v>
      </c>
      <c r="B208" s="85">
        <v>4</v>
      </c>
      <c r="C208" s="104" t="s">
        <v>135</v>
      </c>
      <c r="D208" s="63" t="s">
        <v>356</v>
      </c>
      <c r="E208" s="77" t="s">
        <v>1549</v>
      </c>
      <c r="F208" s="61" t="s">
        <v>2167</v>
      </c>
      <c r="G208" s="61" t="s">
        <v>355</v>
      </c>
      <c r="H208" s="61" t="s">
        <v>356</v>
      </c>
      <c r="I208" s="61" t="s">
        <v>2167</v>
      </c>
      <c r="J208" s="63"/>
      <c r="K208" s="85">
        <v>0</v>
      </c>
      <c r="L208" s="85">
        <v>2</v>
      </c>
      <c r="M208" s="61" t="s">
        <v>91</v>
      </c>
      <c r="N208" t="s">
        <v>54</v>
      </c>
    </row>
    <row r="209" spans="1:15" x14ac:dyDescent="0.25">
      <c r="A209" t="s">
        <v>55</v>
      </c>
      <c r="B209" s="85">
        <v>5</v>
      </c>
      <c r="C209" s="63" t="s">
        <v>2606</v>
      </c>
      <c r="D209" s="60" t="s">
        <v>3390</v>
      </c>
      <c r="E209" s="63"/>
      <c r="F209" s="63"/>
      <c r="G209" s="63" t="s">
        <v>3029</v>
      </c>
      <c r="H209" s="57" t="s">
        <v>2811</v>
      </c>
      <c r="I209" s="63"/>
      <c r="J209" s="63"/>
      <c r="K209" s="85">
        <v>0</v>
      </c>
      <c r="L209" s="85">
        <v>0</v>
      </c>
      <c r="M209" s="57" t="s">
        <v>91</v>
      </c>
      <c r="N209" t="s">
        <v>54</v>
      </c>
    </row>
    <row r="210" spans="1:15" x14ac:dyDescent="0.25">
      <c r="A210" t="s">
        <v>55</v>
      </c>
      <c r="B210" s="85">
        <v>6</v>
      </c>
      <c r="C210" s="63" t="s">
        <v>2607</v>
      </c>
      <c r="D210" s="80" t="s">
        <v>3391</v>
      </c>
      <c r="E210" s="63"/>
      <c r="F210" s="63"/>
      <c r="G210" s="63" t="s">
        <v>3030</v>
      </c>
      <c r="H210" s="57"/>
      <c r="I210" s="63"/>
      <c r="J210" s="63"/>
      <c r="K210" s="85">
        <v>0</v>
      </c>
      <c r="L210" s="85">
        <v>0</v>
      </c>
      <c r="M210" s="57"/>
      <c r="N210" t="s">
        <v>54</v>
      </c>
    </row>
    <row r="211" spans="1:15" x14ac:dyDescent="0.25">
      <c r="A211" t="s">
        <v>55</v>
      </c>
      <c r="B211" s="85">
        <v>7</v>
      </c>
      <c r="C211" s="63" t="s">
        <v>2608</v>
      </c>
      <c r="D211" s="79" t="s">
        <v>3392</v>
      </c>
      <c r="E211" s="63"/>
      <c r="F211" s="63"/>
      <c r="G211" s="63" t="s">
        <v>3031</v>
      </c>
      <c r="H211" s="57" t="s">
        <v>2812</v>
      </c>
      <c r="I211" s="63"/>
      <c r="J211" s="63"/>
      <c r="K211" s="85">
        <v>0</v>
      </c>
      <c r="L211" s="85">
        <v>0</v>
      </c>
      <c r="M211" s="57" t="s">
        <v>91</v>
      </c>
      <c r="N211" t="s">
        <v>54</v>
      </c>
    </row>
    <row r="212" spans="1:15" x14ac:dyDescent="0.25">
      <c r="A212" t="s">
        <v>55</v>
      </c>
      <c r="B212" s="85">
        <v>8</v>
      </c>
      <c r="C212" s="63" t="s">
        <v>2610</v>
      </c>
      <c r="D212" s="57" t="s">
        <v>3396</v>
      </c>
      <c r="E212" s="63"/>
      <c r="F212" s="63"/>
      <c r="G212" s="63" t="s">
        <v>3033</v>
      </c>
      <c r="H212" s="60" t="s">
        <v>2814</v>
      </c>
      <c r="I212" s="63"/>
      <c r="J212" s="63"/>
      <c r="K212" s="85">
        <v>0</v>
      </c>
      <c r="L212" s="85">
        <v>0</v>
      </c>
      <c r="M212" s="57"/>
      <c r="N212" t="s">
        <v>54</v>
      </c>
    </row>
    <row r="213" spans="1:15" x14ac:dyDescent="0.25">
      <c r="A213" t="s">
        <v>55</v>
      </c>
      <c r="B213" s="85">
        <v>9</v>
      </c>
      <c r="C213" s="63" t="s">
        <v>2611</v>
      </c>
      <c r="D213" s="57" t="s">
        <v>3393</v>
      </c>
      <c r="E213" s="63"/>
      <c r="F213" s="63"/>
      <c r="G213" s="63" t="s">
        <v>3034</v>
      </c>
      <c r="H213" s="79" t="s">
        <v>2815</v>
      </c>
      <c r="I213" s="63"/>
      <c r="J213" s="63"/>
      <c r="K213" s="85">
        <v>0</v>
      </c>
      <c r="L213" s="85">
        <v>0</v>
      </c>
      <c r="M213" s="57" t="s">
        <v>100</v>
      </c>
      <c r="N213" t="s">
        <v>54</v>
      </c>
    </row>
    <row r="214" spans="1:15" x14ac:dyDescent="0.25">
      <c r="A214" t="s">
        <v>55</v>
      </c>
      <c r="B214" s="85">
        <v>10</v>
      </c>
      <c r="C214" s="63" t="s">
        <v>2612</v>
      </c>
      <c r="D214" s="57" t="s">
        <v>3401</v>
      </c>
      <c r="E214" s="63"/>
      <c r="F214" s="63"/>
      <c r="G214" s="63" t="s">
        <v>3035</v>
      </c>
      <c r="H214" s="79" t="s">
        <v>2816</v>
      </c>
      <c r="I214" s="63"/>
      <c r="J214" s="63"/>
      <c r="K214" s="85">
        <v>0</v>
      </c>
      <c r="L214" s="85">
        <v>0</v>
      </c>
      <c r="M214" s="57" t="s">
        <v>91</v>
      </c>
      <c r="N214" t="s">
        <v>54</v>
      </c>
    </row>
    <row r="215" spans="1:15" x14ac:dyDescent="0.25">
      <c r="A215" t="s">
        <v>55</v>
      </c>
      <c r="B215" s="85">
        <v>11</v>
      </c>
      <c r="C215" s="63" t="s">
        <v>2613</v>
      </c>
      <c r="D215" s="57" t="s">
        <v>3394</v>
      </c>
      <c r="E215" s="63"/>
      <c r="F215" s="63"/>
      <c r="G215" s="63" t="s">
        <v>3036</v>
      </c>
      <c r="H215" s="79" t="s">
        <v>2817</v>
      </c>
      <c r="I215" s="63"/>
      <c r="J215" s="63"/>
      <c r="K215" s="85">
        <v>0</v>
      </c>
      <c r="L215" s="85">
        <v>0</v>
      </c>
      <c r="M215" s="57" t="s">
        <v>91</v>
      </c>
      <c r="N215" t="s">
        <v>54</v>
      </c>
    </row>
    <row r="216" spans="1:15" x14ac:dyDescent="0.25">
      <c r="A216" t="s">
        <v>55</v>
      </c>
      <c r="B216" s="85">
        <v>12</v>
      </c>
      <c r="C216" s="63" t="s">
        <v>2614</v>
      </c>
      <c r="D216" s="57" t="s">
        <v>3398</v>
      </c>
      <c r="E216" s="63"/>
      <c r="F216" s="63"/>
      <c r="G216" s="63" t="s">
        <v>3037</v>
      </c>
      <c r="H216" s="79" t="s">
        <v>2818</v>
      </c>
      <c r="I216" s="63"/>
      <c r="J216" s="63"/>
      <c r="K216" s="85">
        <v>0</v>
      </c>
      <c r="L216" s="85">
        <v>0</v>
      </c>
      <c r="M216" s="57" t="s">
        <v>91</v>
      </c>
      <c r="N216" t="s">
        <v>54</v>
      </c>
    </row>
    <row r="217" spans="1:15" x14ac:dyDescent="0.25">
      <c r="A217" t="s">
        <v>55</v>
      </c>
      <c r="B217" s="85">
        <v>13</v>
      </c>
      <c r="C217" s="63" t="s">
        <v>2615</v>
      </c>
      <c r="D217" s="57" t="s">
        <v>3399</v>
      </c>
      <c r="E217" s="63"/>
      <c r="F217" s="63"/>
      <c r="G217" s="63" t="s">
        <v>3038</v>
      </c>
      <c r="H217" s="79" t="s">
        <v>2819</v>
      </c>
      <c r="I217" s="63"/>
      <c r="J217" s="63"/>
      <c r="K217" s="85">
        <v>0</v>
      </c>
      <c r="L217" s="85">
        <v>0</v>
      </c>
      <c r="M217" s="60" t="s">
        <v>91</v>
      </c>
      <c r="N217" t="s">
        <v>54</v>
      </c>
    </row>
    <row r="218" spans="1:15" x14ac:dyDescent="0.25">
      <c r="A218" t="s">
        <v>55</v>
      </c>
      <c r="B218" s="85">
        <v>14</v>
      </c>
      <c r="C218" s="63" t="s">
        <v>2605</v>
      </c>
      <c r="D218" s="57" t="s">
        <v>3389</v>
      </c>
      <c r="E218" s="63"/>
      <c r="F218" s="63"/>
      <c r="G218" s="63" t="s">
        <v>3028</v>
      </c>
      <c r="H218" s="57" t="s">
        <v>2810</v>
      </c>
      <c r="I218" s="63"/>
      <c r="J218" s="63"/>
      <c r="K218" s="85">
        <v>0</v>
      </c>
      <c r="L218" s="85">
        <v>0</v>
      </c>
      <c r="M218" s="57" t="s">
        <v>3002</v>
      </c>
      <c r="N218" t="s">
        <v>54</v>
      </c>
    </row>
    <row r="219" spans="1:15" x14ac:dyDescent="0.25">
      <c r="A219" t="s">
        <v>55</v>
      </c>
      <c r="B219" s="85">
        <v>15</v>
      </c>
      <c r="C219" s="63" t="s">
        <v>2609</v>
      </c>
      <c r="D219" s="79" t="s">
        <v>3395</v>
      </c>
      <c r="E219" s="63"/>
      <c r="F219" s="63"/>
      <c r="G219" s="63" t="s">
        <v>3032</v>
      </c>
      <c r="H219" s="57" t="s">
        <v>2813</v>
      </c>
      <c r="I219" s="63"/>
      <c r="J219" s="63"/>
      <c r="K219" s="85">
        <v>0</v>
      </c>
      <c r="L219" s="85">
        <v>0</v>
      </c>
      <c r="M219" s="57" t="s">
        <v>1877</v>
      </c>
      <c r="N219" t="s">
        <v>54</v>
      </c>
    </row>
    <row r="220" spans="1:15" x14ac:dyDescent="0.25">
      <c r="A220" t="s">
        <v>55</v>
      </c>
      <c r="B220" s="84">
        <v>16</v>
      </c>
      <c r="C220" s="62" t="s">
        <v>137</v>
      </c>
      <c r="D220" s="63" t="s">
        <v>1950</v>
      </c>
      <c r="E220" s="69" t="s">
        <v>1551</v>
      </c>
      <c r="F220" s="62" t="s">
        <v>2168</v>
      </c>
      <c r="G220" s="62" t="s">
        <v>359</v>
      </c>
      <c r="H220" s="62" t="s">
        <v>360</v>
      </c>
      <c r="I220" s="62" t="s">
        <v>2348</v>
      </c>
      <c r="J220" s="63" t="s">
        <v>3449</v>
      </c>
      <c r="K220" s="86">
        <v>0</v>
      </c>
      <c r="L220" s="85">
        <v>0</v>
      </c>
      <c r="M220" s="62" t="s">
        <v>92</v>
      </c>
      <c r="N220" t="s">
        <v>54</v>
      </c>
    </row>
    <row r="221" spans="1:15" x14ac:dyDescent="0.25">
      <c r="A221" t="s">
        <v>55</v>
      </c>
      <c r="B221" s="85">
        <v>17</v>
      </c>
      <c r="C221" s="61" t="s">
        <v>136</v>
      </c>
      <c r="D221" s="63" t="s">
        <v>1899</v>
      </c>
      <c r="E221" s="77" t="s">
        <v>1550</v>
      </c>
      <c r="F221" s="61" t="s">
        <v>2181</v>
      </c>
      <c r="G221" s="61" t="s">
        <v>357</v>
      </c>
      <c r="H221" s="61" t="s">
        <v>358</v>
      </c>
      <c r="I221" s="61" t="s">
        <v>2506</v>
      </c>
      <c r="J221" s="63"/>
      <c r="K221" s="85">
        <v>0</v>
      </c>
      <c r="L221" s="85">
        <v>0</v>
      </c>
      <c r="M221" s="61" t="s">
        <v>91</v>
      </c>
      <c r="N221" t="s">
        <v>54</v>
      </c>
    </row>
    <row r="222" spans="1:15" x14ac:dyDescent="0.25">
      <c r="A222" t="s">
        <v>66</v>
      </c>
      <c r="B222" s="85">
        <v>-99</v>
      </c>
      <c r="C222" s="64" t="s">
        <v>2793</v>
      </c>
      <c r="D222" s="61" t="s">
        <v>6738</v>
      </c>
      <c r="E222" s="63"/>
      <c r="F222" s="63"/>
      <c r="G222" s="63" t="s">
        <v>3225</v>
      </c>
      <c r="H222" s="57" t="s">
        <v>2996</v>
      </c>
      <c r="I222" s="63"/>
      <c r="J222" s="63" t="s">
        <v>3448</v>
      </c>
      <c r="K222" s="85">
        <v>0</v>
      </c>
      <c r="L222" s="85">
        <v>0</v>
      </c>
      <c r="M222" s="57" t="s">
        <v>92</v>
      </c>
      <c r="N222" t="s">
        <v>54</v>
      </c>
    </row>
    <row r="223" spans="1:15" x14ac:dyDescent="0.25">
      <c r="A223" s="145" t="s">
        <v>66</v>
      </c>
      <c r="B223" s="141">
        <v>-99</v>
      </c>
      <c r="C223" s="91" t="s">
        <v>6813</v>
      </c>
      <c r="E223" s="91"/>
      <c r="G223" s="91" t="s">
        <v>6918</v>
      </c>
      <c r="H223" s="91" t="s">
        <v>6919</v>
      </c>
      <c r="J223" s="91"/>
      <c r="K223" s="136"/>
      <c r="L223" s="136"/>
      <c r="M223" s="91" t="s">
        <v>3005</v>
      </c>
      <c r="N223" s="138" t="s">
        <v>54</v>
      </c>
      <c r="O223" s="92"/>
    </row>
    <row r="224" spans="1:15" x14ac:dyDescent="0.25">
      <c r="A224" s="145" t="s">
        <v>66</v>
      </c>
      <c r="B224" s="141">
        <v>-99</v>
      </c>
      <c r="C224" s="91" t="s">
        <v>6812</v>
      </c>
      <c r="E224" s="91"/>
      <c r="G224" s="91" t="s">
        <v>6916</v>
      </c>
      <c r="H224" s="91" t="s">
        <v>6917</v>
      </c>
      <c r="J224" s="91"/>
      <c r="K224" s="136"/>
      <c r="L224" s="136"/>
      <c r="M224" s="91" t="s">
        <v>3004</v>
      </c>
      <c r="N224" s="138" t="s">
        <v>54</v>
      </c>
      <c r="O224" s="92"/>
    </row>
    <row r="225" spans="1:15" x14ac:dyDescent="0.25">
      <c r="A225" s="145" t="s">
        <v>66</v>
      </c>
      <c r="B225" s="141">
        <v>-99</v>
      </c>
      <c r="C225" s="91" t="s">
        <v>292</v>
      </c>
      <c r="E225" s="91"/>
      <c r="G225" s="91" t="s">
        <v>292</v>
      </c>
      <c r="H225" s="91" t="s">
        <v>292</v>
      </c>
      <c r="J225" s="91"/>
      <c r="K225" s="136"/>
      <c r="L225" s="136"/>
      <c r="M225" s="92"/>
      <c r="N225" s="138" t="s">
        <v>54</v>
      </c>
      <c r="O225" s="92"/>
    </row>
    <row r="226" spans="1:15" x14ac:dyDescent="0.25">
      <c r="A226" s="123" t="s">
        <v>66</v>
      </c>
      <c r="B226" s="124">
        <v>0</v>
      </c>
      <c r="C226" s="125" t="s">
        <v>93</v>
      </c>
      <c r="D226" s="125" t="s">
        <v>1927</v>
      </c>
      <c r="E226" s="126" t="s">
        <v>2139</v>
      </c>
      <c r="F226" s="125" t="s">
        <v>2187</v>
      </c>
      <c r="G226" s="125" t="s">
        <v>277</v>
      </c>
      <c r="H226" s="125" t="s">
        <v>278</v>
      </c>
      <c r="I226" s="125" t="s">
        <v>2320</v>
      </c>
      <c r="J226" s="127"/>
      <c r="K226" s="124">
        <v>1</v>
      </c>
      <c r="L226" s="124" t="s">
        <v>605</v>
      </c>
      <c r="M226" s="125" t="s">
        <v>91</v>
      </c>
      <c r="N226" s="123" t="s">
        <v>54</v>
      </c>
      <c r="O226" s="123"/>
    </row>
    <row r="227" spans="1:15" x14ac:dyDescent="0.25">
      <c r="A227" t="s">
        <v>66</v>
      </c>
      <c r="B227" s="85">
        <v>1</v>
      </c>
      <c r="C227" s="61" t="s">
        <v>129</v>
      </c>
      <c r="D227" s="61" t="s">
        <v>1954</v>
      </c>
      <c r="E227" s="77" t="s">
        <v>1543</v>
      </c>
      <c r="F227" s="61" t="s">
        <v>2184</v>
      </c>
      <c r="G227" s="61" t="s">
        <v>344</v>
      </c>
      <c r="H227" s="61" t="s">
        <v>456</v>
      </c>
      <c r="I227" s="75" t="s">
        <v>2396</v>
      </c>
      <c r="J227" s="63"/>
      <c r="K227" s="85">
        <v>1</v>
      </c>
      <c r="L227" s="84" t="s">
        <v>605</v>
      </c>
      <c r="M227" s="61" t="s">
        <v>100</v>
      </c>
      <c r="N227" t="s">
        <v>54</v>
      </c>
    </row>
    <row r="228" spans="1:15" x14ac:dyDescent="0.25">
      <c r="A228" t="s">
        <v>66</v>
      </c>
      <c r="B228" s="85">
        <v>2</v>
      </c>
      <c r="C228" s="61" t="s">
        <v>196</v>
      </c>
      <c r="D228" s="61" t="s">
        <v>2063</v>
      </c>
      <c r="E228" s="77" t="s">
        <v>1589</v>
      </c>
      <c r="F228" s="61" t="s">
        <v>2182</v>
      </c>
      <c r="G228" s="61" t="s">
        <v>454</v>
      </c>
      <c r="H228" s="61" t="s">
        <v>455</v>
      </c>
      <c r="I228" s="75" t="s">
        <v>2395</v>
      </c>
      <c r="J228" s="63"/>
      <c r="K228" s="85">
        <v>0</v>
      </c>
      <c r="L228" s="85" t="s">
        <v>605</v>
      </c>
      <c r="M228" s="61" t="s">
        <v>153</v>
      </c>
      <c r="N228" t="s">
        <v>54</v>
      </c>
    </row>
    <row r="229" spans="1:15" x14ac:dyDescent="0.25">
      <c r="A229" t="s">
        <v>66</v>
      </c>
      <c r="B229" s="85">
        <v>4</v>
      </c>
      <c r="C229" s="63" t="s">
        <v>2794</v>
      </c>
      <c r="D229" s="69" t="s">
        <v>3275</v>
      </c>
      <c r="E229" s="63"/>
      <c r="F229" s="63"/>
      <c r="G229" s="63" t="s">
        <v>3226</v>
      </c>
      <c r="H229" s="57" t="s">
        <v>2997</v>
      </c>
      <c r="I229" s="63"/>
      <c r="J229" s="64"/>
      <c r="K229" s="85">
        <v>0</v>
      </c>
      <c r="L229" s="85">
        <v>0</v>
      </c>
      <c r="M229" s="57" t="s">
        <v>92</v>
      </c>
      <c r="N229" t="s">
        <v>54</v>
      </c>
    </row>
    <row r="230" spans="1:15" x14ac:dyDescent="0.25">
      <c r="A230" t="s">
        <v>66</v>
      </c>
      <c r="B230" s="85">
        <v>5</v>
      </c>
      <c r="C230" s="62" t="s">
        <v>198</v>
      </c>
      <c r="D230" s="61" t="s">
        <v>6738</v>
      </c>
      <c r="E230" s="77" t="s">
        <v>1591</v>
      </c>
      <c r="F230" s="62" t="s">
        <v>2202</v>
      </c>
      <c r="G230" s="61" t="s">
        <v>459</v>
      </c>
      <c r="H230" s="61" t="s">
        <v>460</v>
      </c>
      <c r="I230" s="75" t="s">
        <v>2398</v>
      </c>
      <c r="J230" s="63" t="s">
        <v>3448</v>
      </c>
      <c r="K230" s="85">
        <v>0</v>
      </c>
      <c r="L230" s="85">
        <v>0</v>
      </c>
      <c r="M230" s="61" t="s">
        <v>92</v>
      </c>
      <c r="N230" t="s">
        <v>54</v>
      </c>
    </row>
    <row r="231" spans="1:15" x14ac:dyDescent="0.25">
      <c r="A231" t="s">
        <v>66</v>
      </c>
      <c r="B231" s="85">
        <v>6</v>
      </c>
      <c r="C231" s="61" t="s">
        <v>197</v>
      </c>
      <c r="D231" s="61" t="s">
        <v>1957</v>
      </c>
      <c r="E231" s="77" t="s">
        <v>1590</v>
      </c>
      <c r="F231" s="61" t="s">
        <v>2222</v>
      </c>
      <c r="G231" s="61" t="s">
        <v>457</v>
      </c>
      <c r="H231" s="61" t="s">
        <v>458</v>
      </c>
      <c r="I231" s="75" t="s">
        <v>2397</v>
      </c>
      <c r="J231" s="63" t="s">
        <v>3450</v>
      </c>
      <c r="K231" s="85">
        <v>0</v>
      </c>
      <c r="L231" s="85">
        <v>0</v>
      </c>
      <c r="M231" s="61" t="s">
        <v>92</v>
      </c>
      <c r="N231" t="s">
        <v>54</v>
      </c>
    </row>
    <row r="232" spans="1:15" x14ac:dyDescent="0.25">
      <c r="A232" t="s">
        <v>66</v>
      </c>
      <c r="B232" s="85">
        <v>7</v>
      </c>
      <c r="C232" s="61" t="s">
        <v>199</v>
      </c>
      <c r="D232" s="61" t="s">
        <v>1958</v>
      </c>
      <c r="E232" s="77" t="s">
        <v>1592</v>
      </c>
      <c r="F232" s="61" t="s">
        <v>2224</v>
      </c>
      <c r="G232" s="61" t="s">
        <v>461</v>
      </c>
      <c r="H232" s="61" t="s">
        <v>462</v>
      </c>
      <c r="I232" s="75" t="s">
        <v>2154</v>
      </c>
      <c r="J232" s="63" t="s">
        <v>3439</v>
      </c>
      <c r="K232" s="85">
        <v>0</v>
      </c>
      <c r="L232" s="85">
        <v>0</v>
      </c>
      <c r="M232" s="61" t="s">
        <v>92</v>
      </c>
      <c r="N232" t="s">
        <v>54</v>
      </c>
    </row>
    <row r="233" spans="1:15" x14ac:dyDescent="0.25">
      <c r="A233" t="s">
        <v>66</v>
      </c>
      <c r="B233" s="85">
        <v>8</v>
      </c>
      <c r="C233" s="63" t="s">
        <v>2795</v>
      </c>
      <c r="D233" s="57" t="s">
        <v>3277</v>
      </c>
      <c r="E233" s="63"/>
      <c r="F233" s="63"/>
      <c r="G233" s="63" t="s">
        <v>3227</v>
      </c>
      <c r="H233" s="57" t="s">
        <v>2998</v>
      </c>
      <c r="I233" s="63"/>
      <c r="J233" s="63"/>
      <c r="K233" s="85">
        <v>0</v>
      </c>
      <c r="L233" s="85">
        <v>0</v>
      </c>
      <c r="M233" s="57" t="s">
        <v>2300</v>
      </c>
      <c r="N233" t="s">
        <v>54</v>
      </c>
    </row>
    <row r="234" spans="1:15" x14ac:dyDescent="0.25">
      <c r="A234" t="s">
        <v>66</v>
      </c>
      <c r="B234" s="85">
        <v>9</v>
      </c>
      <c r="C234" s="63" t="s">
        <v>2796</v>
      </c>
      <c r="D234" s="57" t="s">
        <v>3278</v>
      </c>
      <c r="E234" s="63"/>
      <c r="F234" s="63"/>
      <c r="G234" s="63" t="s">
        <v>3228</v>
      </c>
      <c r="H234" s="57" t="s">
        <v>2999</v>
      </c>
      <c r="I234" s="63"/>
      <c r="J234" s="63"/>
      <c r="K234" s="85">
        <v>0</v>
      </c>
      <c r="L234" s="85">
        <v>0</v>
      </c>
      <c r="M234" s="57" t="s">
        <v>262</v>
      </c>
      <c r="N234" t="s">
        <v>54</v>
      </c>
    </row>
    <row r="235" spans="1:15" x14ac:dyDescent="0.25">
      <c r="A235" t="s">
        <v>66</v>
      </c>
      <c r="B235" s="85">
        <v>10</v>
      </c>
      <c r="C235" s="61" t="s">
        <v>200</v>
      </c>
      <c r="D235" s="61" t="s">
        <v>1900</v>
      </c>
      <c r="E235" s="77" t="s">
        <v>1593</v>
      </c>
      <c r="F235" s="61" t="s">
        <v>2225</v>
      </c>
      <c r="G235" s="63" t="s">
        <v>3229</v>
      </c>
      <c r="H235" s="61" t="s">
        <v>463</v>
      </c>
      <c r="I235" s="75" t="s">
        <v>2399</v>
      </c>
      <c r="J235" s="63"/>
      <c r="K235" s="85">
        <v>0</v>
      </c>
      <c r="L235" s="85">
        <v>0</v>
      </c>
      <c r="M235" s="61" t="s">
        <v>195</v>
      </c>
      <c r="N235" t="s">
        <v>54</v>
      </c>
    </row>
    <row r="236" spans="1:15" x14ac:dyDescent="0.25">
      <c r="A236" t="s">
        <v>66</v>
      </c>
      <c r="B236" s="85">
        <v>11</v>
      </c>
      <c r="C236" s="61" t="s">
        <v>201</v>
      </c>
      <c r="D236" s="61" t="s">
        <v>1901</v>
      </c>
      <c r="E236" s="77" t="s">
        <v>1594</v>
      </c>
      <c r="F236" s="61" t="s">
        <v>2226</v>
      </c>
      <c r="G236" s="63" t="s">
        <v>3230</v>
      </c>
      <c r="H236" s="61" t="s">
        <v>464</v>
      </c>
      <c r="I236" s="75" t="s">
        <v>2400</v>
      </c>
      <c r="J236" s="63"/>
      <c r="K236" s="85">
        <v>0</v>
      </c>
      <c r="L236" s="85">
        <v>0</v>
      </c>
      <c r="M236" s="61" t="s">
        <v>195</v>
      </c>
      <c r="N236" t="s">
        <v>54</v>
      </c>
    </row>
    <row r="237" spans="1:15" x14ac:dyDescent="0.25">
      <c r="A237" t="s">
        <v>66</v>
      </c>
      <c r="B237" s="85">
        <v>13</v>
      </c>
      <c r="C237" s="63" t="s">
        <v>2797</v>
      </c>
      <c r="D237" s="57" t="s">
        <v>3280</v>
      </c>
      <c r="E237" s="63"/>
      <c r="F237" s="63"/>
      <c r="G237" s="63" t="s">
        <v>3231</v>
      </c>
      <c r="H237" s="57" t="s">
        <v>3000</v>
      </c>
      <c r="I237" s="63"/>
      <c r="J237" s="63" t="s">
        <v>3597</v>
      </c>
      <c r="K237" s="85">
        <v>0</v>
      </c>
      <c r="L237" s="85">
        <v>0</v>
      </c>
      <c r="M237" s="57" t="s">
        <v>92</v>
      </c>
      <c r="N237" t="s">
        <v>54</v>
      </c>
    </row>
    <row r="238" spans="1:15" x14ac:dyDescent="0.25">
      <c r="A238" t="s">
        <v>66</v>
      </c>
      <c r="B238" s="85">
        <v>14</v>
      </c>
      <c r="C238" s="63" t="s">
        <v>2798</v>
      </c>
      <c r="D238" s="57" t="s">
        <v>3279</v>
      </c>
      <c r="E238" s="63"/>
      <c r="F238" s="63"/>
      <c r="G238" s="63" t="s">
        <v>3232</v>
      </c>
      <c r="H238" s="57" t="s">
        <v>3001</v>
      </c>
      <c r="I238" s="63"/>
      <c r="J238" s="63"/>
      <c r="K238" s="85">
        <v>0</v>
      </c>
      <c r="L238" s="85">
        <v>0</v>
      </c>
      <c r="M238" s="57" t="s">
        <v>156</v>
      </c>
      <c r="N238" t="s">
        <v>54</v>
      </c>
    </row>
    <row r="239" spans="1:15" x14ac:dyDescent="0.25">
      <c r="A239" s="144" t="s">
        <v>65</v>
      </c>
      <c r="B239" s="141">
        <v>-99</v>
      </c>
      <c r="C239" s="91" t="s">
        <v>292</v>
      </c>
      <c r="E239" s="91"/>
      <c r="G239" s="91" t="s">
        <v>292</v>
      </c>
      <c r="H239" s="91" t="s">
        <v>292</v>
      </c>
      <c r="J239" s="91"/>
      <c r="K239" s="136"/>
      <c r="L239" s="136"/>
      <c r="M239" s="92"/>
      <c r="N239" s="138" t="s">
        <v>54</v>
      </c>
      <c r="O239" s="92"/>
    </row>
    <row r="240" spans="1:15" x14ac:dyDescent="0.25">
      <c r="A240" s="123" t="s">
        <v>65</v>
      </c>
      <c r="B240" s="124">
        <v>0</v>
      </c>
      <c r="C240" s="125" t="s">
        <v>93</v>
      </c>
      <c r="D240" s="125" t="s">
        <v>1927</v>
      </c>
      <c r="E240" s="126" t="s">
        <v>2139</v>
      </c>
      <c r="F240" s="125" t="s">
        <v>2187</v>
      </c>
      <c r="G240" s="125" t="s">
        <v>277</v>
      </c>
      <c r="H240" s="125" t="s">
        <v>278</v>
      </c>
      <c r="I240" s="125" t="s">
        <v>2320</v>
      </c>
      <c r="J240" s="127"/>
      <c r="K240" s="124">
        <v>1</v>
      </c>
      <c r="L240" s="124" t="s">
        <v>605</v>
      </c>
      <c r="M240" s="125" t="s">
        <v>91</v>
      </c>
      <c r="N240" s="123" t="s">
        <v>54</v>
      </c>
      <c r="O240" s="123"/>
    </row>
    <row r="241" spans="1:15" x14ac:dyDescent="0.25">
      <c r="A241" t="s">
        <v>65</v>
      </c>
      <c r="B241" s="85">
        <v>1</v>
      </c>
      <c r="C241" s="61" t="s">
        <v>129</v>
      </c>
      <c r="D241" s="61" t="s">
        <v>1926</v>
      </c>
      <c r="E241" s="77" t="s">
        <v>1543</v>
      </c>
      <c r="F241" s="61" t="s">
        <v>2155</v>
      </c>
      <c r="G241" s="61" t="s">
        <v>344</v>
      </c>
      <c r="H241" s="61" t="s">
        <v>345</v>
      </c>
      <c r="I241" s="75" t="s">
        <v>2346</v>
      </c>
      <c r="J241" s="63"/>
      <c r="K241" s="85">
        <v>1</v>
      </c>
      <c r="L241" s="84" t="s">
        <v>605</v>
      </c>
      <c r="M241" s="61" t="s">
        <v>100</v>
      </c>
      <c r="N241" t="s">
        <v>54</v>
      </c>
    </row>
    <row r="242" spans="1:15" x14ac:dyDescent="0.25">
      <c r="A242" t="s">
        <v>65</v>
      </c>
      <c r="B242" s="85">
        <v>2</v>
      </c>
      <c r="C242" s="104" t="s">
        <v>193</v>
      </c>
      <c r="D242" s="61" t="s">
        <v>6458</v>
      </c>
      <c r="E242" s="77" t="s">
        <v>1587</v>
      </c>
      <c r="F242" s="61" t="s">
        <v>2183</v>
      </c>
      <c r="G242" s="61" t="s">
        <v>450</v>
      </c>
      <c r="H242" s="61" t="s">
        <v>451</v>
      </c>
      <c r="I242" s="75" t="s">
        <v>2393</v>
      </c>
      <c r="J242" s="63"/>
      <c r="K242" s="85">
        <v>0</v>
      </c>
      <c r="L242" s="85" t="s">
        <v>605</v>
      </c>
      <c r="M242" s="61" t="s">
        <v>91</v>
      </c>
      <c r="N242" t="s">
        <v>54</v>
      </c>
    </row>
    <row r="243" spans="1:15" x14ac:dyDescent="0.25">
      <c r="A243" t="s">
        <v>65</v>
      </c>
      <c r="B243" s="85">
        <v>3</v>
      </c>
      <c r="C243" s="64" t="s">
        <v>2792</v>
      </c>
      <c r="D243" s="69" t="s">
        <v>3281</v>
      </c>
      <c r="E243" s="63"/>
      <c r="F243" s="63"/>
      <c r="G243" s="63" t="s">
        <v>3224</v>
      </c>
      <c r="H243" s="57" t="s">
        <v>2995</v>
      </c>
      <c r="I243" s="63"/>
      <c r="J243" s="63"/>
      <c r="K243" s="85">
        <v>0</v>
      </c>
      <c r="L243" s="85">
        <v>0</v>
      </c>
      <c r="M243" s="57" t="s">
        <v>91</v>
      </c>
      <c r="N243" t="s">
        <v>54</v>
      </c>
    </row>
    <row r="244" spans="1:15" x14ac:dyDescent="0.25">
      <c r="A244" t="s">
        <v>65</v>
      </c>
      <c r="B244" s="85">
        <v>4</v>
      </c>
      <c r="C244" s="61" t="s">
        <v>194</v>
      </c>
      <c r="D244" s="61" t="s">
        <v>6737</v>
      </c>
      <c r="E244" s="77" t="s">
        <v>1588</v>
      </c>
      <c r="F244" s="61" t="s">
        <v>2181</v>
      </c>
      <c r="G244" s="61" t="s">
        <v>452</v>
      </c>
      <c r="H244" s="61" t="s">
        <v>453</v>
      </c>
      <c r="I244" s="75" t="s">
        <v>2394</v>
      </c>
      <c r="J244" s="63"/>
      <c r="K244" s="85">
        <v>0</v>
      </c>
      <c r="L244" s="85">
        <v>0</v>
      </c>
      <c r="M244" s="61" t="s">
        <v>91</v>
      </c>
      <c r="N244" t="s">
        <v>54</v>
      </c>
    </row>
    <row r="245" spans="1:15" x14ac:dyDescent="0.25">
      <c r="A245" t="s">
        <v>58</v>
      </c>
      <c r="B245" s="141">
        <v>-99</v>
      </c>
      <c r="C245" s="91" t="s">
        <v>292</v>
      </c>
      <c r="E245" s="91"/>
      <c r="G245" s="91" t="s">
        <v>292</v>
      </c>
      <c r="H245" s="91" t="s">
        <v>292</v>
      </c>
      <c r="J245" s="91"/>
      <c r="K245" s="136"/>
      <c r="L245" s="136"/>
      <c r="M245" s="92"/>
      <c r="N245" s="138" t="s">
        <v>54</v>
      </c>
      <c r="O245" s="92"/>
    </row>
    <row r="246" spans="1:15" x14ac:dyDescent="0.25">
      <c r="A246" s="123" t="s">
        <v>58</v>
      </c>
      <c r="B246" s="124">
        <v>0</v>
      </c>
      <c r="C246" s="125" t="s">
        <v>93</v>
      </c>
      <c r="D246" s="127" t="s">
        <v>1927</v>
      </c>
      <c r="E246" s="126" t="s">
        <v>2139</v>
      </c>
      <c r="F246" s="125" t="s">
        <v>2187</v>
      </c>
      <c r="G246" s="125" t="s">
        <v>277</v>
      </c>
      <c r="H246" s="125" t="s">
        <v>278</v>
      </c>
      <c r="I246" s="125" t="s">
        <v>2320</v>
      </c>
      <c r="J246" s="127"/>
      <c r="K246" s="124">
        <v>1</v>
      </c>
      <c r="L246" s="124" t="s">
        <v>605</v>
      </c>
      <c r="M246" s="125" t="s">
        <v>91</v>
      </c>
      <c r="N246" s="123" t="s">
        <v>54</v>
      </c>
      <c r="O246" s="123"/>
    </row>
    <row r="247" spans="1:15" x14ac:dyDescent="0.25">
      <c r="A247" t="s">
        <v>58</v>
      </c>
      <c r="B247" s="85">
        <v>1</v>
      </c>
      <c r="C247" s="61" t="s">
        <v>121</v>
      </c>
      <c r="D247" s="63" t="s">
        <v>1954</v>
      </c>
      <c r="E247" s="77" t="s">
        <v>1536</v>
      </c>
      <c r="F247" s="61" t="s">
        <v>2184</v>
      </c>
      <c r="G247" s="61" t="s">
        <v>328</v>
      </c>
      <c r="H247" s="61" t="s">
        <v>390</v>
      </c>
      <c r="I247" s="75" t="s">
        <v>2363</v>
      </c>
      <c r="J247" s="63"/>
      <c r="K247" s="85">
        <v>1</v>
      </c>
      <c r="L247" s="84" t="s">
        <v>605</v>
      </c>
      <c r="M247" s="61" t="s">
        <v>100</v>
      </c>
      <c r="N247" t="s">
        <v>54</v>
      </c>
    </row>
    <row r="248" spans="1:15" x14ac:dyDescent="0.25">
      <c r="A248" t="s">
        <v>58</v>
      </c>
      <c r="B248" s="85">
        <v>2</v>
      </c>
      <c r="C248" s="61" t="s">
        <v>159</v>
      </c>
      <c r="D248" s="63" t="s">
        <v>1893</v>
      </c>
      <c r="E248" s="77" t="s">
        <v>1565</v>
      </c>
      <c r="F248" s="61" t="s">
        <v>2204</v>
      </c>
      <c r="G248" s="61" t="s">
        <v>391</v>
      </c>
      <c r="H248" s="61" t="s">
        <v>392</v>
      </c>
      <c r="I248" s="75" t="s">
        <v>2364</v>
      </c>
      <c r="J248" s="63"/>
      <c r="K248" s="85">
        <v>0</v>
      </c>
      <c r="L248" s="85" t="s">
        <v>605</v>
      </c>
      <c r="M248" s="61" t="s">
        <v>156</v>
      </c>
      <c r="N248" t="s">
        <v>54</v>
      </c>
    </row>
    <row r="249" spans="1:15" x14ac:dyDescent="0.25">
      <c r="A249" t="s">
        <v>58</v>
      </c>
      <c r="B249" s="85">
        <v>3</v>
      </c>
      <c r="C249" s="61" t="s">
        <v>160</v>
      </c>
      <c r="D249" s="63" t="s">
        <v>1894</v>
      </c>
      <c r="E249" s="77" t="s">
        <v>1566</v>
      </c>
      <c r="F249" s="61" t="s">
        <v>2205</v>
      </c>
      <c r="G249" s="61" t="s">
        <v>393</v>
      </c>
      <c r="H249" s="61" t="s">
        <v>394</v>
      </c>
      <c r="I249" s="75" t="s">
        <v>2365</v>
      </c>
      <c r="J249" s="63"/>
      <c r="K249" s="85">
        <v>0</v>
      </c>
      <c r="L249" s="85" t="s">
        <v>605</v>
      </c>
      <c r="M249" s="61" t="s">
        <v>156</v>
      </c>
      <c r="N249" t="s">
        <v>54</v>
      </c>
    </row>
    <row r="250" spans="1:15" x14ac:dyDescent="0.25">
      <c r="A250" t="s">
        <v>58</v>
      </c>
      <c r="B250" s="85">
        <v>4</v>
      </c>
      <c r="C250" s="63" t="s">
        <v>2693</v>
      </c>
      <c r="D250" s="57" t="s">
        <v>3288</v>
      </c>
      <c r="E250" s="63"/>
      <c r="F250" s="63"/>
      <c r="G250" s="63" t="s">
        <v>3119</v>
      </c>
      <c r="H250" s="57" t="s">
        <v>2897</v>
      </c>
      <c r="I250" s="63"/>
      <c r="J250" s="63"/>
      <c r="K250" s="85">
        <v>0</v>
      </c>
      <c r="L250" s="85">
        <v>0</v>
      </c>
      <c r="M250" s="60" t="s">
        <v>235</v>
      </c>
      <c r="N250" t="s">
        <v>54</v>
      </c>
    </row>
    <row r="251" spans="1:15" x14ac:dyDescent="0.25">
      <c r="A251" t="s">
        <v>58</v>
      </c>
      <c r="B251" s="85">
        <v>5</v>
      </c>
      <c r="C251" s="61" t="s">
        <v>161</v>
      </c>
      <c r="D251" s="63" t="s">
        <v>1895</v>
      </c>
      <c r="E251" s="77" t="s">
        <v>1567</v>
      </c>
      <c r="F251" s="61" t="s">
        <v>2206</v>
      </c>
      <c r="G251" s="61" t="s">
        <v>395</v>
      </c>
      <c r="H251" s="61" t="s">
        <v>396</v>
      </c>
      <c r="I251" s="75" t="s">
        <v>2366</v>
      </c>
      <c r="J251" s="63"/>
      <c r="K251" s="85">
        <v>0</v>
      </c>
      <c r="L251" s="85">
        <v>1</v>
      </c>
      <c r="M251" s="61" t="s">
        <v>157</v>
      </c>
      <c r="N251" t="s">
        <v>54</v>
      </c>
    </row>
    <row r="252" spans="1:15" x14ac:dyDescent="0.25">
      <c r="A252" t="s">
        <v>58</v>
      </c>
      <c r="B252" s="87">
        <v>6</v>
      </c>
      <c r="C252" s="61" t="s">
        <v>162</v>
      </c>
      <c r="D252" s="63" t="s">
        <v>3286</v>
      </c>
      <c r="E252" s="77" t="s">
        <v>1568</v>
      </c>
      <c r="F252" s="61" t="s">
        <v>2207</v>
      </c>
      <c r="G252" s="61" t="s">
        <v>397</v>
      </c>
      <c r="H252" s="61" t="s">
        <v>398</v>
      </c>
      <c r="I252" s="75" t="s">
        <v>2367</v>
      </c>
      <c r="J252" s="63"/>
      <c r="K252" s="87">
        <v>0</v>
      </c>
      <c r="L252" s="85">
        <v>0</v>
      </c>
      <c r="M252" s="61" t="s">
        <v>158</v>
      </c>
      <c r="N252" t="s">
        <v>54</v>
      </c>
    </row>
    <row r="253" spans="1:15" x14ac:dyDescent="0.25">
      <c r="A253" t="s">
        <v>58</v>
      </c>
      <c r="B253" s="85">
        <v>7</v>
      </c>
      <c r="C253" s="63" t="s">
        <v>2688</v>
      </c>
      <c r="D253" s="57" t="s">
        <v>6455</v>
      </c>
      <c r="E253" s="63"/>
      <c r="F253" s="63"/>
      <c r="G253" s="63" t="s">
        <v>3114</v>
      </c>
      <c r="H253" s="57" t="s">
        <v>2892</v>
      </c>
      <c r="I253" s="63"/>
      <c r="J253" s="63"/>
      <c r="K253" s="85">
        <v>0</v>
      </c>
      <c r="L253" s="85">
        <v>0</v>
      </c>
      <c r="M253" s="57" t="s">
        <v>3011</v>
      </c>
      <c r="N253" t="s">
        <v>54</v>
      </c>
    </row>
    <row r="254" spans="1:15" x14ac:dyDescent="0.25">
      <c r="A254" t="s">
        <v>58</v>
      </c>
      <c r="B254" s="87">
        <v>8</v>
      </c>
      <c r="C254" s="63" t="s">
        <v>2690</v>
      </c>
      <c r="D254" s="57" t="s">
        <v>6739</v>
      </c>
      <c r="E254" s="63"/>
      <c r="F254" s="63"/>
      <c r="G254" s="63" t="s">
        <v>3116</v>
      </c>
      <c r="H254" s="57" t="s">
        <v>2894</v>
      </c>
      <c r="I254" s="63"/>
      <c r="J254" s="63"/>
      <c r="K254" s="87">
        <v>0</v>
      </c>
      <c r="L254" s="85">
        <v>0</v>
      </c>
      <c r="M254" s="57" t="s">
        <v>158</v>
      </c>
      <c r="N254" t="s">
        <v>54</v>
      </c>
    </row>
    <row r="255" spans="1:15" x14ac:dyDescent="0.25">
      <c r="A255" t="s">
        <v>58</v>
      </c>
      <c r="B255" s="87">
        <v>9</v>
      </c>
      <c r="C255" s="63" t="s">
        <v>2689</v>
      </c>
      <c r="D255" s="57" t="s">
        <v>6456</v>
      </c>
      <c r="E255" s="63"/>
      <c r="F255" s="63"/>
      <c r="G255" s="63" t="s">
        <v>3115</v>
      </c>
      <c r="H255" s="57" t="s">
        <v>2893</v>
      </c>
      <c r="I255" s="63"/>
      <c r="J255" s="63"/>
      <c r="K255" s="87">
        <v>0</v>
      </c>
      <c r="L255" s="85">
        <v>0</v>
      </c>
      <c r="M255" s="57" t="s">
        <v>3011</v>
      </c>
      <c r="N255" t="s">
        <v>54</v>
      </c>
    </row>
    <row r="256" spans="1:15" x14ac:dyDescent="0.25">
      <c r="A256" t="s">
        <v>58</v>
      </c>
      <c r="B256" s="87">
        <v>10</v>
      </c>
      <c r="C256" s="63" t="s">
        <v>2691</v>
      </c>
      <c r="D256" s="57" t="s">
        <v>6740</v>
      </c>
      <c r="E256" s="63"/>
      <c r="F256" s="63"/>
      <c r="G256" s="63" t="s">
        <v>3117</v>
      </c>
      <c r="H256" s="57" t="s">
        <v>2895</v>
      </c>
      <c r="I256" s="63"/>
      <c r="J256" s="63"/>
      <c r="K256" s="87">
        <v>0</v>
      </c>
      <c r="L256" s="85">
        <v>0</v>
      </c>
      <c r="M256" s="57" t="s">
        <v>158</v>
      </c>
      <c r="N256" t="s">
        <v>54</v>
      </c>
    </row>
    <row r="257" spans="1:15" x14ac:dyDescent="0.25">
      <c r="A257" t="s">
        <v>58</v>
      </c>
      <c r="B257" s="85">
        <v>11</v>
      </c>
      <c r="C257" s="63" t="s">
        <v>2692</v>
      </c>
      <c r="D257" s="57" t="s">
        <v>3287</v>
      </c>
      <c r="E257" s="63"/>
      <c r="F257" s="63"/>
      <c r="G257" s="63" t="s">
        <v>3118</v>
      </c>
      <c r="H257" s="57" t="s">
        <v>2896</v>
      </c>
      <c r="I257" s="63"/>
      <c r="J257" s="63"/>
      <c r="K257" s="85">
        <v>0</v>
      </c>
      <c r="L257" s="85">
        <v>1</v>
      </c>
      <c r="M257" s="57" t="s">
        <v>195</v>
      </c>
      <c r="N257" t="s">
        <v>54</v>
      </c>
    </row>
    <row r="258" spans="1:15" x14ac:dyDescent="0.25">
      <c r="A258" s="144" t="s">
        <v>57</v>
      </c>
      <c r="B258" s="141">
        <v>-99</v>
      </c>
      <c r="C258" s="91" t="s">
        <v>6784</v>
      </c>
      <c r="E258" s="91"/>
      <c r="G258" s="91" t="s">
        <v>6855</v>
      </c>
      <c r="H258" s="91" t="s">
        <v>6856</v>
      </c>
      <c r="J258" s="91"/>
      <c r="K258" s="136"/>
      <c r="L258" s="136"/>
      <c r="M258" s="91" t="s">
        <v>3009</v>
      </c>
      <c r="N258" s="138" t="s">
        <v>54</v>
      </c>
      <c r="O258" s="92"/>
    </row>
    <row r="259" spans="1:15" x14ac:dyDescent="0.25">
      <c r="A259" s="144" t="s">
        <v>57</v>
      </c>
      <c r="B259" s="141">
        <v>-99</v>
      </c>
      <c r="C259" s="91" t="s">
        <v>292</v>
      </c>
      <c r="E259" s="91"/>
      <c r="G259" s="91" t="s">
        <v>292</v>
      </c>
      <c r="H259" s="91" t="s">
        <v>292</v>
      </c>
      <c r="J259" s="91"/>
      <c r="K259" s="136"/>
      <c r="L259" s="136"/>
      <c r="M259" s="92"/>
      <c r="N259" s="138" t="s">
        <v>54</v>
      </c>
      <c r="O259" s="92"/>
    </row>
    <row r="260" spans="1:15" x14ac:dyDescent="0.25">
      <c r="A260" s="144" t="s">
        <v>57</v>
      </c>
      <c r="B260" s="141">
        <v>-99</v>
      </c>
      <c r="C260" s="91" t="s">
        <v>6786</v>
      </c>
      <c r="E260" s="91"/>
      <c r="G260" s="91" t="s">
        <v>6859</v>
      </c>
      <c r="H260" s="91" t="s">
        <v>6860</v>
      </c>
      <c r="J260" s="91"/>
      <c r="K260" s="136"/>
      <c r="L260" s="136"/>
      <c r="M260" s="91" t="s">
        <v>3009</v>
      </c>
      <c r="N260" s="138" t="s">
        <v>54</v>
      </c>
      <c r="O260" s="92"/>
    </row>
    <row r="261" spans="1:15" x14ac:dyDescent="0.25">
      <c r="A261" s="123" t="s">
        <v>57</v>
      </c>
      <c r="B261" s="124">
        <v>0</v>
      </c>
      <c r="C261" s="125" t="s">
        <v>93</v>
      </c>
      <c r="D261" s="125" t="s">
        <v>1927</v>
      </c>
      <c r="E261" s="126" t="s">
        <v>2139</v>
      </c>
      <c r="F261" s="125" t="s">
        <v>2187</v>
      </c>
      <c r="G261" s="125" t="s">
        <v>277</v>
      </c>
      <c r="H261" s="125" t="s">
        <v>278</v>
      </c>
      <c r="I261" s="125" t="s">
        <v>2320</v>
      </c>
      <c r="J261" s="127"/>
      <c r="K261" s="124">
        <v>1</v>
      </c>
      <c r="L261" s="124" t="s">
        <v>605</v>
      </c>
      <c r="M261" s="125" t="s">
        <v>91</v>
      </c>
      <c r="N261" s="123" t="s">
        <v>54</v>
      </c>
      <c r="O261" s="123"/>
    </row>
    <row r="262" spans="1:15" x14ac:dyDescent="0.25">
      <c r="A262" t="s">
        <v>57</v>
      </c>
      <c r="B262" s="85">
        <v>1</v>
      </c>
      <c r="C262" s="61" t="s">
        <v>121</v>
      </c>
      <c r="D262" s="63" t="s">
        <v>1926</v>
      </c>
      <c r="E262" s="77" t="s">
        <v>1536</v>
      </c>
      <c r="F262" s="61" t="s">
        <v>2155</v>
      </c>
      <c r="G262" s="61" t="s">
        <v>328</v>
      </c>
      <c r="H262" s="61" t="s">
        <v>387</v>
      </c>
      <c r="I262" s="75" t="s">
        <v>2361</v>
      </c>
      <c r="J262" s="63"/>
      <c r="K262" s="85">
        <v>1</v>
      </c>
      <c r="L262" s="84" t="s">
        <v>605</v>
      </c>
      <c r="M262" s="61" t="s">
        <v>100</v>
      </c>
      <c r="N262" t="s">
        <v>54</v>
      </c>
    </row>
    <row r="263" spans="1:15" x14ac:dyDescent="0.25">
      <c r="A263" t="s">
        <v>57</v>
      </c>
      <c r="B263" s="85">
        <v>2</v>
      </c>
      <c r="C263" s="104" t="s">
        <v>155</v>
      </c>
      <c r="D263" s="63" t="s">
        <v>6454</v>
      </c>
      <c r="E263" s="77" t="s">
        <v>1564</v>
      </c>
      <c r="F263" s="61" t="s">
        <v>2183</v>
      </c>
      <c r="G263" s="61" t="s">
        <v>388</v>
      </c>
      <c r="H263" s="61" t="s">
        <v>389</v>
      </c>
      <c r="I263" s="75" t="s">
        <v>2362</v>
      </c>
      <c r="J263" s="63"/>
      <c r="K263" s="85">
        <v>0</v>
      </c>
      <c r="L263" s="85" t="s">
        <v>605</v>
      </c>
      <c r="M263" s="61" t="s">
        <v>91</v>
      </c>
      <c r="N263" t="s">
        <v>54</v>
      </c>
    </row>
    <row r="264" spans="1:15" x14ac:dyDescent="0.25">
      <c r="A264" t="s">
        <v>57</v>
      </c>
      <c r="B264" s="85">
        <v>3</v>
      </c>
      <c r="C264" s="61" t="s">
        <v>154</v>
      </c>
      <c r="D264" s="64" t="s">
        <v>3302</v>
      </c>
      <c r="E264" s="63"/>
      <c r="F264" s="61"/>
      <c r="G264" s="61" t="s">
        <v>385</v>
      </c>
      <c r="H264" s="61" t="s">
        <v>386</v>
      </c>
      <c r="I264" s="75" t="s">
        <v>2360</v>
      </c>
      <c r="J264" s="63"/>
      <c r="K264" s="85">
        <v>0</v>
      </c>
      <c r="L264" s="85" t="s">
        <v>605</v>
      </c>
      <c r="M264" s="61" t="s">
        <v>153</v>
      </c>
      <c r="N264" t="s">
        <v>54</v>
      </c>
    </row>
    <row r="265" spans="1:15" x14ac:dyDescent="0.25">
      <c r="A265" s="144" t="s">
        <v>57</v>
      </c>
      <c r="B265" s="141">
        <v>3</v>
      </c>
      <c r="C265" s="91" t="s">
        <v>6783</v>
      </c>
      <c r="E265" s="91"/>
      <c r="G265" s="91" t="s">
        <v>6853</v>
      </c>
      <c r="H265" s="91" t="s">
        <v>6854</v>
      </c>
      <c r="J265" s="91"/>
      <c r="K265" s="136"/>
      <c r="L265" s="136"/>
      <c r="M265" s="91" t="s">
        <v>3004</v>
      </c>
      <c r="N265" s="138" t="s">
        <v>54</v>
      </c>
      <c r="O265" s="92"/>
    </row>
    <row r="266" spans="1:15" x14ac:dyDescent="0.25">
      <c r="A266" t="s">
        <v>57</v>
      </c>
      <c r="B266" s="85">
        <v>4</v>
      </c>
      <c r="C266" s="63" t="s">
        <v>2668</v>
      </c>
      <c r="D266" s="64" t="s">
        <v>3301</v>
      </c>
      <c r="E266" s="63"/>
      <c r="F266" s="61"/>
      <c r="G266" s="63" t="s">
        <v>3093</v>
      </c>
      <c r="H266" s="57" t="s">
        <v>2871</v>
      </c>
      <c r="I266" s="63"/>
      <c r="J266" s="63"/>
      <c r="K266" s="85">
        <v>0</v>
      </c>
      <c r="L266" s="85" t="s">
        <v>605</v>
      </c>
      <c r="M266" s="57" t="s">
        <v>153</v>
      </c>
      <c r="N266" t="s">
        <v>54</v>
      </c>
    </row>
    <row r="267" spans="1:15" x14ac:dyDescent="0.25">
      <c r="A267" t="s">
        <v>57</v>
      </c>
      <c r="B267" s="85">
        <v>5</v>
      </c>
      <c r="C267" s="63" t="s">
        <v>2596</v>
      </c>
      <c r="D267" s="57" t="s">
        <v>3297</v>
      </c>
      <c r="E267" s="63"/>
      <c r="F267" s="63"/>
      <c r="G267" s="63" t="s">
        <v>3094</v>
      </c>
      <c r="H267" s="57" t="s">
        <v>2872</v>
      </c>
      <c r="I267" s="63"/>
      <c r="J267" s="63" t="s">
        <v>3448</v>
      </c>
      <c r="K267" s="85">
        <v>0</v>
      </c>
      <c r="L267" s="85">
        <v>1</v>
      </c>
      <c r="M267" s="57" t="s">
        <v>92</v>
      </c>
      <c r="N267" t="s">
        <v>54</v>
      </c>
    </row>
    <row r="268" spans="1:15" x14ac:dyDescent="0.25">
      <c r="A268" t="s">
        <v>57</v>
      </c>
      <c r="B268" s="85">
        <v>6</v>
      </c>
      <c r="C268" s="63" t="s">
        <v>2670</v>
      </c>
      <c r="D268" s="57" t="s">
        <v>3298</v>
      </c>
      <c r="E268" s="63"/>
      <c r="F268" s="63"/>
      <c r="G268" s="63" t="s">
        <v>3096</v>
      </c>
      <c r="H268" s="57" t="s">
        <v>2874</v>
      </c>
      <c r="I268" s="63"/>
      <c r="J268" s="63"/>
      <c r="K268" s="85">
        <v>0</v>
      </c>
      <c r="L268" s="85">
        <v>1</v>
      </c>
      <c r="M268" s="57" t="s">
        <v>195</v>
      </c>
      <c r="N268" t="s">
        <v>54</v>
      </c>
    </row>
    <row r="269" spans="1:15" x14ac:dyDescent="0.25">
      <c r="A269" t="s">
        <v>57</v>
      </c>
      <c r="B269" s="85">
        <v>7</v>
      </c>
      <c r="C269" s="63" t="s">
        <v>2669</v>
      </c>
      <c r="D269" s="57" t="s">
        <v>3295</v>
      </c>
      <c r="E269" s="63"/>
      <c r="F269" s="63"/>
      <c r="G269" s="63" t="s">
        <v>3095</v>
      </c>
      <c r="H269" s="57" t="s">
        <v>2873</v>
      </c>
      <c r="I269" s="63"/>
      <c r="J269" s="63"/>
      <c r="K269" s="85">
        <v>0</v>
      </c>
      <c r="L269" s="85">
        <v>1</v>
      </c>
      <c r="M269" s="57" t="s">
        <v>156</v>
      </c>
      <c r="N269" t="s">
        <v>54</v>
      </c>
    </row>
    <row r="270" spans="1:15" x14ac:dyDescent="0.25">
      <c r="A270" t="s">
        <v>57</v>
      </c>
      <c r="B270" s="85">
        <v>8</v>
      </c>
      <c r="C270" s="63" t="s">
        <v>2672</v>
      </c>
      <c r="D270" s="57" t="s">
        <v>3294</v>
      </c>
      <c r="E270" s="63"/>
      <c r="F270" s="63"/>
      <c r="G270" s="63" t="s">
        <v>3098</v>
      </c>
      <c r="H270" s="57" t="s">
        <v>2876</v>
      </c>
      <c r="I270" s="63"/>
      <c r="J270" s="63"/>
      <c r="K270" s="85">
        <v>0</v>
      </c>
      <c r="L270" s="85">
        <v>1</v>
      </c>
      <c r="M270" s="57" t="s">
        <v>262</v>
      </c>
      <c r="N270" t="s">
        <v>54</v>
      </c>
    </row>
    <row r="271" spans="1:15" x14ac:dyDescent="0.25">
      <c r="A271" t="s">
        <v>57</v>
      </c>
      <c r="B271" s="85">
        <v>9</v>
      </c>
      <c r="C271" s="63" t="s">
        <v>2671</v>
      </c>
      <c r="D271" s="57" t="s">
        <v>3293</v>
      </c>
      <c r="E271" s="63"/>
      <c r="F271" s="63"/>
      <c r="G271" s="63" t="s">
        <v>3097</v>
      </c>
      <c r="H271" s="57" t="s">
        <v>2875</v>
      </c>
      <c r="I271" s="63"/>
      <c r="J271" s="63"/>
      <c r="K271" s="85">
        <v>0</v>
      </c>
      <c r="L271" s="85">
        <v>1</v>
      </c>
      <c r="M271" s="57" t="s">
        <v>195</v>
      </c>
      <c r="N271" t="s">
        <v>54</v>
      </c>
    </row>
    <row r="272" spans="1:15" x14ac:dyDescent="0.25">
      <c r="A272" t="s">
        <v>57</v>
      </c>
      <c r="B272" s="85">
        <v>10</v>
      </c>
      <c r="C272" s="63" t="s">
        <v>2673</v>
      </c>
      <c r="D272" s="57" t="s">
        <v>3289</v>
      </c>
      <c r="E272" s="63"/>
      <c r="F272" s="63"/>
      <c r="G272" s="63" t="s">
        <v>3099</v>
      </c>
      <c r="H272" s="57" t="s">
        <v>2877</v>
      </c>
      <c r="I272" s="63"/>
      <c r="J272" s="63"/>
      <c r="K272" s="85">
        <v>0</v>
      </c>
      <c r="L272" s="85">
        <v>1</v>
      </c>
      <c r="M272" s="57" t="s">
        <v>195</v>
      </c>
      <c r="N272" t="s">
        <v>54</v>
      </c>
    </row>
    <row r="273" spans="1:15" x14ac:dyDescent="0.25">
      <c r="A273" t="s">
        <v>57</v>
      </c>
      <c r="B273" s="85">
        <v>11</v>
      </c>
      <c r="C273" s="63" t="s">
        <v>2674</v>
      </c>
      <c r="D273" s="57" t="s">
        <v>3290</v>
      </c>
      <c r="E273" s="63"/>
      <c r="F273" s="63"/>
      <c r="G273" s="63" t="s">
        <v>3100</v>
      </c>
      <c r="H273" s="57" t="s">
        <v>2878</v>
      </c>
      <c r="I273" s="63"/>
      <c r="J273" s="63"/>
      <c r="K273" s="85">
        <v>0</v>
      </c>
      <c r="L273" s="85">
        <v>0</v>
      </c>
      <c r="M273" s="57" t="s">
        <v>195</v>
      </c>
      <c r="N273" t="s">
        <v>54</v>
      </c>
    </row>
    <row r="274" spans="1:15" x14ac:dyDescent="0.25">
      <c r="A274" t="s">
        <v>57</v>
      </c>
      <c r="B274" s="85">
        <v>12</v>
      </c>
      <c r="C274" s="63" t="s">
        <v>2675</v>
      </c>
      <c r="D274" s="57" t="s">
        <v>3291</v>
      </c>
      <c r="E274" s="63"/>
      <c r="F274" s="63"/>
      <c r="G274" s="63" t="s">
        <v>3101</v>
      </c>
      <c r="H274" s="57" t="s">
        <v>2879</v>
      </c>
      <c r="I274" s="63"/>
      <c r="J274" s="63"/>
      <c r="K274" s="85">
        <v>0</v>
      </c>
      <c r="L274" s="85">
        <v>0</v>
      </c>
      <c r="M274" s="57" t="s">
        <v>195</v>
      </c>
      <c r="N274" t="s">
        <v>54</v>
      </c>
    </row>
    <row r="275" spans="1:15" x14ac:dyDescent="0.25">
      <c r="A275" t="s">
        <v>57</v>
      </c>
      <c r="B275" s="85">
        <v>13</v>
      </c>
      <c r="C275" s="63" t="s">
        <v>2676</v>
      </c>
      <c r="D275" s="57" t="s">
        <v>3292</v>
      </c>
      <c r="E275" s="63"/>
      <c r="F275" s="63"/>
      <c r="G275" s="63" t="s">
        <v>3102</v>
      </c>
      <c r="H275" s="57" t="s">
        <v>2880</v>
      </c>
      <c r="I275" s="63"/>
      <c r="J275" s="63"/>
      <c r="K275" s="85">
        <v>0</v>
      </c>
      <c r="L275" s="85">
        <v>0</v>
      </c>
      <c r="M275" s="57" t="s">
        <v>195</v>
      </c>
      <c r="N275" t="s">
        <v>54</v>
      </c>
    </row>
    <row r="276" spans="1:15" x14ac:dyDescent="0.25">
      <c r="A276" t="s">
        <v>57</v>
      </c>
      <c r="B276" s="85">
        <v>14</v>
      </c>
      <c r="C276" s="63" t="s">
        <v>2677</v>
      </c>
      <c r="D276" s="57" t="s">
        <v>3299</v>
      </c>
      <c r="E276" s="63"/>
      <c r="F276" s="63"/>
      <c r="G276" s="63" t="s">
        <v>3103</v>
      </c>
      <c r="H276" s="57" t="s">
        <v>2881</v>
      </c>
      <c r="I276" s="63"/>
      <c r="J276" s="63"/>
      <c r="K276" s="85">
        <v>0</v>
      </c>
      <c r="L276" s="85">
        <v>0</v>
      </c>
      <c r="M276" s="57" t="s">
        <v>262</v>
      </c>
      <c r="N276" t="s">
        <v>54</v>
      </c>
    </row>
    <row r="277" spans="1:15" x14ac:dyDescent="0.25">
      <c r="A277" t="s">
        <v>57</v>
      </c>
      <c r="B277" s="85">
        <v>15</v>
      </c>
      <c r="C277" s="63" t="s">
        <v>2678</v>
      </c>
      <c r="D277" s="57" t="s">
        <v>3300</v>
      </c>
      <c r="E277" s="63"/>
      <c r="F277" s="63"/>
      <c r="G277" s="63" t="s">
        <v>3104</v>
      </c>
      <c r="H277" s="57" t="s">
        <v>2882</v>
      </c>
      <c r="I277" s="63"/>
      <c r="J277" s="63"/>
      <c r="K277" s="85">
        <v>0</v>
      </c>
      <c r="L277" s="85">
        <v>0</v>
      </c>
      <c r="M277" s="57" t="s">
        <v>262</v>
      </c>
      <c r="N277" t="s">
        <v>54</v>
      </c>
    </row>
    <row r="278" spans="1:15" x14ac:dyDescent="0.25">
      <c r="A278" t="s">
        <v>57</v>
      </c>
      <c r="B278" s="85">
        <v>16</v>
      </c>
      <c r="C278" s="63" t="s">
        <v>2680</v>
      </c>
      <c r="D278" s="57" t="s">
        <v>3303</v>
      </c>
      <c r="E278" s="63"/>
      <c r="F278" s="63"/>
      <c r="G278" s="63" t="s">
        <v>3106</v>
      </c>
      <c r="H278" s="57" t="s">
        <v>2884</v>
      </c>
      <c r="I278" s="63"/>
      <c r="J278" s="63"/>
      <c r="K278" s="85">
        <v>0</v>
      </c>
      <c r="L278" s="85">
        <v>0</v>
      </c>
      <c r="M278" s="57" t="s">
        <v>165</v>
      </c>
      <c r="N278" t="s">
        <v>54</v>
      </c>
    </row>
    <row r="279" spans="1:15" x14ac:dyDescent="0.25">
      <c r="A279" t="s">
        <v>57</v>
      </c>
      <c r="B279" s="85">
        <v>17</v>
      </c>
      <c r="C279" s="63" t="s">
        <v>2679</v>
      </c>
      <c r="D279" s="57" t="s">
        <v>3304</v>
      </c>
      <c r="E279" s="63"/>
      <c r="F279" s="63"/>
      <c r="G279" s="63" t="s">
        <v>3105</v>
      </c>
      <c r="H279" s="57" t="s">
        <v>2883</v>
      </c>
      <c r="I279" s="63"/>
      <c r="J279" s="63"/>
      <c r="K279" s="85">
        <v>0</v>
      </c>
      <c r="L279" s="85">
        <v>0</v>
      </c>
      <c r="M279" s="57" t="s">
        <v>195</v>
      </c>
      <c r="N279" t="s">
        <v>54</v>
      </c>
    </row>
    <row r="280" spans="1:15" x14ac:dyDescent="0.25">
      <c r="A280" t="s">
        <v>57</v>
      </c>
      <c r="B280" s="85">
        <v>18</v>
      </c>
      <c r="C280" s="63" t="s">
        <v>2681</v>
      </c>
      <c r="D280" s="57" t="s">
        <v>3296</v>
      </c>
      <c r="E280" s="63"/>
      <c r="F280" s="63"/>
      <c r="G280" s="63" t="s">
        <v>3107</v>
      </c>
      <c r="H280" s="57" t="s">
        <v>2885</v>
      </c>
      <c r="I280" s="63"/>
      <c r="J280" s="63"/>
      <c r="K280" s="85">
        <v>0</v>
      </c>
      <c r="L280" s="85">
        <v>0</v>
      </c>
      <c r="M280" s="57" t="s">
        <v>156</v>
      </c>
      <c r="N280" t="s">
        <v>54</v>
      </c>
    </row>
    <row r="281" spans="1:15" x14ac:dyDescent="0.25">
      <c r="A281" t="s">
        <v>57</v>
      </c>
      <c r="B281" s="85">
        <v>19</v>
      </c>
      <c r="C281" s="63" t="s">
        <v>2682</v>
      </c>
      <c r="D281" s="57" t="s">
        <v>3305</v>
      </c>
      <c r="E281" s="63"/>
      <c r="F281" s="63"/>
      <c r="G281" s="63" t="s">
        <v>3108</v>
      </c>
      <c r="H281" s="57" t="s">
        <v>2886</v>
      </c>
      <c r="I281" s="63"/>
      <c r="J281" s="63"/>
      <c r="K281" s="85">
        <v>0</v>
      </c>
      <c r="L281" s="85">
        <v>0</v>
      </c>
      <c r="M281" s="57" t="s">
        <v>158</v>
      </c>
      <c r="N281" t="s">
        <v>54</v>
      </c>
    </row>
    <row r="282" spans="1:15" x14ac:dyDescent="0.25">
      <c r="A282" t="s">
        <v>57</v>
      </c>
      <c r="B282" s="85">
        <v>20</v>
      </c>
      <c r="C282" s="63" t="s">
        <v>2683</v>
      </c>
      <c r="D282" s="57" t="s">
        <v>3306</v>
      </c>
      <c r="E282" s="63"/>
      <c r="F282" s="63"/>
      <c r="G282" s="63" t="s">
        <v>3109</v>
      </c>
      <c r="H282" s="57" t="s">
        <v>2887</v>
      </c>
      <c r="I282" s="63"/>
      <c r="J282" s="63"/>
      <c r="K282" s="85">
        <v>0</v>
      </c>
      <c r="L282" s="85">
        <v>0</v>
      </c>
      <c r="M282" s="57" t="s">
        <v>158</v>
      </c>
      <c r="N282" t="s">
        <v>54</v>
      </c>
    </row>
    <row r="283" spans="1:15" x14ac:dyDescent="0.25">
      <c r="A283" s="144" t="s">
        <v>57</v>
      </c>
      <c r="B283" s="141">
        <v>21</v>
      </c>
      <c r="C283" s="91" t="s">
        <v>6785</v>
      </c>
      <c r="E283" s="91"/>
      <c r="G283" s="91" t="s">
        <v>6857</v>
      </c>
      <c r="H283" s="91" t="s">
        <v>6858</v>
      </c>
      <c r="J283" s="91"/>
      <c r="K283" s="136"/>
      <c r="L283" s="136"/>
      <c r="M283" s="91" t="s">
        <v>3004</v>
      </c>
      <c r="N283" s="138" t="s">
        <v>54</v>
      </c>
      <c r="O283" s="92"/>
    </row>
    <row r="284" spans="1:15" x14ac:dyDescent="0.25">
      <c r="A284" t="s">
        <v>57</v>
      </c>
      <c r="B284" s="85">
        <v>21</v>
      </c>
      <c r="C284" s="63" t="s">
        <v>2684</v>
      </c>
      <c r="D284" s="57" t="s">
        <v>3307</v>
      </c>
      <c r="E284" s="63"/>
      <c r="F284" s="63"/>
      <c r="G284" s="63" t="s">
        <v>3110</v>
      </c>
      <c r="H284" s="57" t="s">
        <v>2888</v>
      </c>
      <c r="I284" s="63"/>
      <c r="J284" s="63"/>
      <c r="K284" s="85">
        <v>0</v>
      </c>
      <c r="L284" s="85">
        <v>0</v>
      </c>
      <c r="M284" s="57" t="s">
        <v>158</v>
      </c>
      <c r="N284" t="s">
        <v>54</v>
      </c>
    </row>
    <row r="285" spans="1:15" x14ac:dyDescent="0.25">
      <c r="A285" t="s">
        <v>57</v>
      </c>
      <c r="B285" s="85">
        <v>22</v>
      </c>
      <c r="C285" s="63" t="s">
        <v>2685</v>
      </c>
      <c r="D285" s="57" t="s">
        <v>3309</v>
      </c>
      <c r="E285" s="63"/>
      <c r="F285" s="63"/>
      <c r="G285" s="63" t="s">
        <v>3111</v>
      </c>
      <c r="H285" s="57" t="s">
        <v>2889</v>
      </c>
      <c r="I285" s="63"/>
      <c r="J285" s="63"/>
      <c r="K285" s="85">
        <v>0</v>
      </c>
      <c r="L285" s="85">
        <v>0</v>
      </c>
      <c r="M285" s="57" t="s">
        <v>3010</v>
      </c>
      <c r="N285" t="s">
        <v>54</v>
      </c>
    </row>
    <row r="286" spans="1:15" x14ac:dyDescent="0.25">
      <c r="A286" t="s">
        <v>57</v>
      </c>
      <c r="B286" s="85">
        <v>23</v>
      </c>
      <c r="C286" s="63" t="s">
        <v>2686</v>
      </c>
      <c r="D286" s="57" t="s">
        <v>3308</v>
      </c>
      <c r="E286" s="63"/>
      <c r="F286" s="63"/>
      <c r="G286" s="63" t="s">
        <v>3112</v>
      </c>
      <c r="H286" s="57" t="s">
        <v>2890</v>
      </c>
      <c r="I286" s="63"/>
      <c r="J286" s="63"/>
      <c r="K286" s="85">
        <v>0</v>
      </c>
      <c r="L286" s="85">
        <v>0</v>
      </c>
      <c r="M286" s="57" t="s">
        <v>100</v>
      </c>
      <c r="N286" t="s">
        <v>54</v>
      </c>
    </row>
    <row r="287" spans="1:15" x14ac:dyDescent="0.25">
      <c r="A287" t="s">
        <v>57</v>
      </c>
      <c r="B287" s="85">
        <v>24</v>
      </c>
      <c r="C287" s="63" t="s">
        <v>2687</v>
      </c>
      <c r="D287" s="57" t="s">
        <v>3310</v>
      </c>
      <c r="E287" s="63"/>
      <c r="F287" s="63"/>
      <c r="G287" s="63" t="s">
        <v>3113</v>
      </c>
      <c r="H287" s="57" t="s">
        <v>2891</v>
      </c>
      <c r="I287" s="63"/>
      <c r="J287" s="63"/>
      <c r="K287" s="85">
        <v>0</v>
      </c>
      <c r="L287" s="85">
        <v>0</v>
      </c>
      <c r="M287" s="57" t="s">
        <v>262</v>
      </c>
      <c r="N287" t="s">
        <v>54</v>
      </c>
    </row>
    <row r="288" spans="1:15" x14ac:dyDescent="0.25">
      <c r="A288" s="123" t="s">
        <v>51</v>
      </c>
      <c r="B288" s="124">
        <v>0</v>
      </c>
      <c r="C288" s="125" t="s">
        <v>93</v>
      </c>
      <c r="D288" s="125" t="s">
        <v>1927</v>
      </c>
      <c r="E288" s="126" t="s">
        <v>2139</v>
      </c>
      <c r="F288" s="125" t="s">
        <v>2187</v>
      </c>
      <c r="G288" s="125" t="s">
        <v>277</v>
      </c>
      <c r="H288" s="125" t="s">
        <v>278</v>
      </c>
      <c r="I288" s="125" t="s">
        <v>2320</v>
      </c>
      <c r="J288" s="127"/>
      <c r="K288" s="124">
        <v>1</v>
      </c>
      <c r="L288" s="124" t="s">
        <v>605</v>
      </c>
      <c r="M288" s="125" t="s">
        <v>91</v>
      </c>
      <c r="N288" s="123" t="s">
        <v>45</v>
      </c>
      <c r="O288" s="123"/>
    </row>
    <row r="289" spans="1:15" x14ac:dyDescent="0.25">
      <c r="A289" s="118" t="s">
        <v>51</v>
      </c>
      <c r="B289" s="84">
        <v>0</v>
      </c>
      <c r="C289" s="73" t="s">
        <v>6723</v>
      </c>
      <c r="D289" s="73" t="s">
        <v>6725</v>
      </c>
      <c r="E289" s="74"/>
      <c r="F289" s="73"/>
      <c r="G289" s="73"/>
      <c r="H289" s="73"/>
      <c r="I289" s="73"/>
      <c r="J289" s="120"/>
      <c r="K289" s="119">
        <v>1</v>
      </c>
      <c r="L289" s="119" t="s">
        <v>605</v>
      </c>
      <c r="M289" s="73" t="s">
        <v>91</v>
      </c>
      <c r="N289" s="118" t="s">
        <v>45</v>
      </c>
      <c r="O289" t="s">
        <v>6721</v>
      </c>
    </row>
    <row r="290" spans="1:15" x14ac:dyDescent="0.25">
      <c r="A290" s="118" t="s">
        <v>51</v>
      </c>
      <c r="B290" s="84">
        <v>1</v>
      </c>
      <c r="C290" s="73" t="s">
        <v>6722</v>
      </c>
      <c r="D290" s="73" t="s">
        <v>6724</v>
      </c>
      <c r="E290" s="74"/>
      <c r="F290" s="73"/>
      <c r="G290" s="73"/>
      <c r="H290" s="73"/>
      <c r="I290" s="73"/>
      <c r="J290" s="120"/>
      <c r="K290" s="119">
        <v>1</v>
      </c>
      <c r="L290" s="119" t="s">
        <v>605</v>
      </c>
      <c r="M290" s="73" t="s">
        <v>91</v>
      </c>
      <c r="N290" s="118" t="s">
        <v>45</v>
      </c>
      <c r="O290" t="s">
        <v>6721</v>
      </c>
    </row>
    <row r="291" spans="1:15" x14ac:dyDescent="0.25">
      <c r="A291" t="s">
        <v>51</v>
      </c>
      <c r="B291" s="84">
        <v>2</v>
      </c>
      <c r="C291" s="61" t="s">
        <v>106</v>
      </c>
      <c r="D291" s="61" t="s">
        <v>1926</v>
      </c>
      <c r="E291" s="77" t="s">
        <v>1522</v>
      </c>
      <c r="F291" s="61" t="s">
        <v>2155</v>
      </c>
      <c r="G291" s="61" t="s">
        <v>301</v>
      </c>
      <c r="H291" s="61" t="s">
        <v>292</v>
      </c>
      <c r="I291" s="61" t="s">
        <v>2331</v>
      </c>
      <c r="J291" s="63"/>
      <c r="K291" s="84">
        <v>0</v>
      </c>
      <c r="L291" s="85">
        <v>0</v>
      </c>
      <c r="M291" s="61" t="s">
        <v>100</v>
      </c>
      <c r="N291" t="s">
        <v>45</v>
      </c>
    </row>
    <row r="292" spans="1:15" x14ac:dyDescent="0.25">
      <c r="A292" t="s">
        <v>51</v>
      </c>
      <c r="B292" s="84">
        <v>3</v>
      </c>
      <c r="C292" s="106" t="s">
        <v>107</v>
      </c>
      <c r="D292" s="61" t="s">
        <v>1928</v>
      </c>
      <c r="E292" s="77" t="s">
        <v>1523</v>
      </c>
      <c r="F292" s="61" t="s">
        <v>2162</v>
      </c>
      <c r="G292" s="61" t="s">
        <v>302</v>
      </c>
      <c r="H292" s="61" t="s">
        <v>303</v>
      </c>
      <c r="I292" s="61" t="s">
        <v>2332</v>
      </c>
      <c r="J292" s="63"/>
      <c r="K292" s="84">
        <v>0</v>
      </c>
      <c r="L292" s="84">
        <v>0</v>
      </c>
      <c r="M292" s="61" t="s">
        <v>91</v>
      </c>
      <c r="N292" t="s">
        <v>45</v>
      </c>
    </row>
    <row r="293" spans="1:15" x14ac:dyDescent="0.25">
      <c r="A293" t="s">
        <v>51</v>
      </c>
      <c r="B293" s="84">
        <v>4</v>
      </c>
      <c r="C293" s="61" t="s">
        <v>109</v>
      </c>
      <c r="D293" s="61" t="s">
        <v>1930</v>
      </c>
      <c r="E293" s="77" t="s">
        <v>1525</v>
      </c>
      <c r="F293" s="61" t="s">
        <v>2163</v>
      </c>
      <c r="G293" s="61" t="s">
        <v>306</v>
      </c>
      <c r="H293" s="61" t="s">
        <v>307</v>
      </c>
      <c r="I293" s="61" t="s">
        <v>2334</v>
      </c>
      <c r="J293" s="63" t="s">
        <v>3444</v>
      </c>
      <c r="K293" s="84">
        <v>0</v>
      </c>
      <c r="L293" s="85">
        <v>0</v>
      </c>
      <c r="M293" s="61" t="s">
        <v>92</v>
      </c>
      <c r="N293" t="s">
        <v>45</v>
      </c>
    </row>
    <row r="294" spans="1:15" x14ac:dyDescent="0.25">
      <c r="A294" t="s">
        <v>51</v>
      </c>
      <c r="B294" s="84">
        <v>5</v>
      </c>
      <c r="C294" s="61" t="s">
        <v>108</v>
      </c>
      <c r="D294" s="61" t="s">
        <v>1929</v>
      </c>
      <c r="E294" s="77" t="s">
        <v>1524</v>
      </c>
      <c r="F294" s="61" t="s">
        <v>2157</v>
      </c>
      <c r="G294" s="61" t="s">
        <v>304</v>
      </c>
      <c r="H294" s="61" t="s">
        <v>305</v>
      </c>
      <c r="I294" s="61" t="s">
        <v>2333</v>
      </c>
      <c r="J294" s="63" t="s">
        <v>3445</v>
      </c>
      <c r="K294" s="84">
        <v>0</v>
      </c>
      <c r="L294" s="85">
        <v>0</v>
      </c>
      <c r="M294" s="61" t="s">
        <v>92</v>
      </c>
      <c r="N294" t="s">
        <v>45</v>
      </c>
    </row>
    <row r="295" spans="1:15" x14ac:dyDescent="0.25">
      <c r="A295" t="s">
        <v>51</v>
      </c>
      <c r="B295" s="13">
        <v>6</v>
      </c>
      <c r="C295" t="s">
        <v>3847</v>
      </c>
      <c r="D295" t="s">
        <v>1899</v>
      </c>
      <c r="G295" t="s">
        <v>3948</v>
      </c>
      <c r="H295" t="s">
        <v>3949</v>
      </c>
      <c r="L295" s="13">
        <v>0</v>
      </c>
      <c r="M295" t="s">
        <v>91</v>
      </c>
      <c r="N295" t="s">
        <v>45</v>
      </c>
    </row>
    <row r="296" spans="1:15" x14ac:dyDescent="0.25">
      <c r="A296" s="145" t="s">
        <v>62</v>
      </c>
      <c r="B296" s="141">
        <v>-99</v>
      </c>
      <c r="C296" s="91" t="s">
        <v>292</v>
      </c>
      <c r="E296" s="91"/>
      <c r="G296" s="91" t="s">
        <v>292</v>
      </c>
      <c r="H296" s="91" t="s">
        <v>292</v>
      </c>
      <c r="J296" s="91"/>
      <c r="K296" s="136"/>
      <c r="L296" s="136"/>
      <c r="M296" s="92"/>
      <c r="N296" s="138" t="s">
        <v>54</v>
      </c>
      <c r="O296" s="92"/>
    </row>
    <row r="297" spans="1:15" x14ac:dyDescent="0.25">
      <c r="A297" s="145" t="s">
        <v>62</v>
      </c>
      <c r="B297" s="141">
        <v>-99</v>
      </c>
      <c r="C297" s="91" t="s">
        <v>6792</v>
      </c>
      <c r="E297" s="91"/>
      <c r="G297" s="91" t="s">
        <v>6871</v>
      </c>
      <c r="H297" s="91" t="s">
        <v>6872</v>
      </c>
      <c r="J297" s="91"/>
      <c r="K297" s="136"/>
      <c r="L297" s="136"/>
      <c r="M297" s="91" t="s">
        <v>3005</v>
      </c>
      <c r="N297" s="138" t="s">
        <v>54</v>
      </c>
      <c r="O297" s="92"/>
    </row>
    <row r="298" spans="1:15" x14ac:dyDescent="0.25">
      <c r="A298" s="145" t="s">
        <v>62</v>
      </c>
      <c r="B298" s="141">
        <v>-99</v>
      </c>
      <c r="C298" s="91" t="s">
        <v>6791</v>
      </c>
      <c r="E298" s="91"/>
      <c r="G298" s="91" t="s">
        <v>6869</v>
      </c>
      <c r="H298" s="91" t="s">
        <v>6870</v>
      </c>
      <c r="J298" s="91"/>
      <c r="K298" s="136"/>
      <c r="L298" s="136"/>
      <c r="M298" s="91" t="s">
        <v>3004</v>
      </c>
      <c r="N298" s="138" t="s">
        <v>54</v>
      </c>
      <c r="O298" s="92"/>
    </row>
    <row r="299" spans="1:15" x14ac:dyDescent="0.25">
      <c r="A299" s="123" t="s">
        <v>62</v>
      </c>
      <c r="B299" s="124">
        <v>0</v>
      </c>
      <c r="C299" s="125" t="s">
        <v>93</v>
      </c>
      <c r="D299" s="127" t="s">
        <v>1927</v>
      </c>
      <c r="E299" s="126" t="s">
        <v>2139</v>
      </c>
      <c r="F299" s="125" t="s">
        <v>2187</v>
      </c>
      <c r="G299" s="125" t="s">
        <v>277</v>
      </c>
      <c r="H299" s="125" t="s">
        <v>278</v>
      </c>
      <c r="I299" s="125" t="s">
        <v>2320</v>
      </c>
      <c r="J299" s="127"/>
      <c r="K299" s="124">
        <v>1</v>
      </c>
      <c r="L299" s="124" t="s">
        <v>605</v>
      </c>
      <c r="M299" s="125" t="s">
        <v>91</v>
      </c>
      <c r="N299" s="123" t="s">
        <v>54</v>
      </c>
      <c r="O299" s="123"/>
    </row>
    <row r="300" spans="1:15" x14ac:dyDescent="0.25">
      <c r="A300" t="s">
        <v>62</v>
      </c>
      <c r="B300" s="85">
        <v>1</v>
      </c>
      <c r="C300" s="61" t="s">
        <v>123</v>
      </c>
      <c r="D300" s="63" t="s">
        <v>1954</v>
      </c>
      <c r="E300" s="77" t="s">
        <v>1659</v>
      </c>
      <c r="F300" s="61" t="s">
        <v>2184</v>
      </c>
      <c r="G300" s="61" t="s">
        <v>332</v>
      </c>
      <c r="H300" s="61" t="s">
        <v>422</v>
      </c>
      <c r="I300" s="75" t="s">
        <v>2379</v>
      </c>
      <c r="J300" s="63"/>
      <c r="K300" s="85">
        <v>1</v>
      </c>
      <c r="L300" s="84" t="s">
        <v>605</v>
      </c>
      <c r="M300" s="61" t="s">
        <v>100</v>
      </c>
      <c r="N300" t="s">
        <v>54</v>
      </c>
    </row>
    <row r="301" spans="1:15" x14ac:dyDescent="0.25">
      <c r="A301" t="s">
        <v>62</v>
      </c>
      <c r="B301" s="85">
        <v>2</v>
      </c>
      <c r="C301" s="105" t="s">
        <v>2719</v>
      </c>
      <c r="D301" s="57" t="s">
        <v>6461</v>
      </c>
      <c r="E301" s="63"/>
      <c r="F301" s="63"/>
      <c r="G301" s="63" t="s">
        <v>3146</v>
      </c>
      <c r="H301" s="57" t="s">
        <v>2923</v>
      </c>
      <c r="I301" s="63"/>
      <c r="J301" s="63"/>
      <c r="K301" s="85">
        <v>0</v>
      </c>
      <c r="L301" s="85" t="s">
        <v>605</v>
      </c>
      <c r="M301" s="57" t="s">
        <v>91</v>
      </c>
      <c r="N301" t="s">
        <v>54</v>
      </c>
    </row>
    <row r="302" spans="1:15" x14ac:dyDescent="0.25">
      <c r="A302" t="s">
        <v>62</v>
      </c>
      <c r="B302" s="85">
        <v>3</v>
      </c>
      <c r="C302" s="61" t="s">
        <v>177</v>
      </c>
      <c r="D302" s="63" t="s">
        <v>2063</v>
      </c>
      <c r="E302" s="77" t="s">
        <v>1663</v>
      </c>
      <c r="F302" s="61" t="s">
        <v>2182</v>
      </c>
      <c r="G302" s="61" t="s">
        <v>420</v>
      </c>
      <c r="H302" s="61" t="s">
        <v>421</v>
      </c>
      <c r="I302" s="75" t="s">
        <v>2378</v>
      </c>
      <c r="J302" s="63"/>
      <c r="K302" s="85">
        <v>0</v>
      </c>
      <c r="L302" s="85" t="s">
        <v>605</v>
      </c>
      <c r="M302" s="61" t="s">
        <v>153</v>
      </c>
      <c r="N302" t="s">
        <v>54</v>
      </c>
    </row>
    <row r="303" spans="1:15" x14ac:dyDescent="0.25">
      <c r="A303" t="s">
        <v>62</v>
      </c>
      <c r="B303" s="85">
        <v>4</v>
      </c>
      <c r="C303" s="61" t="s">
        <v>178</v>
      </c>
      <c r="D303" s="63" t="s">
        <v>2055</v>
      </c>
      <c r="E303" s="77" t="s">
        <v>1664</v>
      </c>
      <c r="F303" s="61" t="s">
        <v>2214</v>
      </c>
      <c r="G303" s="61" t="s">
        <v>423</v>
      </c>
      <c r="H303" s="61" t="s">
        <v>424</v>
      </c>
      <c r="I303" s="75" t="s">
        <v>2380</v>
      </c>
      <c r="J303" s="63" t="s">
        <v>3446</v>
      </c>
      <c r="K303" s="85">
        <v>0</v>
      </c>
      <c r="L303" s="85">
        <v>1</v>
      </c>
      <c r="M303" s="61" t="s">
        <v>92</v>
      </c>
      <c r="N303" t="s">
        <v>54</v>
      </c>
    </row>
    <row r="304" spans="1:15" x14ac:dyDescent="0.25">
      <c r="A304" t="s">
        <v>62</v>
      </c>
      <c r="B304" s="85">
        <v>5</v>
      </c>
      <c r="C304" s="61" t="s">
        <v>179</v>
      </c>
      <c r="D304" s="63" t="s">
        <v>1892</v>
      </c>
      <c r="E304" s="74" t="s">
        <v>1665</v>
      </c>
      <c r="F304" s="61" t="s">
        <v>2215</v>
      </c>
      <c r="G304" s="61" t="s">
        <v>425</v>
      </c>
      <c r="H304" s="61" t="s">
        <v>426</v>
      </c>
      <c r="I304" s="75" t="s">
        <v>2381</v>
      </c>
      <c r="J304" s="63"/>
      <c r="K304" s="85">
        <v>0</v>
      </c>
      <c r="L304" s="85">
        <v>2</v>
      </c>
      <c r="M304" s="61" t="s">
        <v>165</v>
      </c>
      <c r="N304" t="s">
        <v>54</v>
      </c>
    </row>
    <row r="305" spans="1:15" x14ac:dyDescent="0.25">
      <c r="A305" t="s">
        <v>62</v>
      </c>
      <c r="B305" s="85">
        <v>6</v>
      </c>
      <c r="C305" s="63" t="s">
        <v>2716</v>
      </c>
      <c r="D305" s="57" t="s">
        <v>1889</v>
      </c>
      <c r="E305" s="63"/>
      <c r="F305" s="63"/>
      <c r="G305" s="63" t="s">
        <v>3143</v>
      </c>
      <c r="H305" s="57" t="s">
        <v>2920</v>
      </c>
      <c r="I305" s="63"/>
      <c r="J305" s="63"/>
      <c r="K305" s="85">
        <v>0</v>
      </c>
      <c r="L305" s="85">
        <v>0</v>
      </c>
      <c r="M305" s="57" t="s">
        <v>156</v>
      </c>
      <c r="N305" t="s">
        <v>54</v>
      </c>
    </row>
    <row r="306" spans="1:15" x14ac:dyDescent="0.25">
      <c r="A306" t="s">
        <v>62</v>
      </c>
      <c r="B306" s="85">
        <v>7</v>
      </c>
      <c r="C306" s="63" t="s">
        <v>2717</v>
      </c>
      <c r="D306" s="57" t="s">
        <v>3311</v>
      </c>
      <c r="E306" s="63"/>
      <c r="F306" s="63"/>
      <c r="G306" s="63" t="s">
        <v>3144</v>
      </c>
      <c r="H306" s="57" t="s">
        <v>2921</v>
      </c>
      <c r="I306" s="63"/>
      <c r="J306" s="63"/>
      <c r="K306" s="85">
        <v>0</v>
      </c>
      <c r="L306" s="85">
        <v>0</v>
      </c>
      <c r="M306" s="57" t="s">
        <v>195</v>
      </c>
      <c r="N306" t="s">
        <v>54</v>
      </c>
    </row>
    <row r="307" spans="1:15" x14ac:dyDescent="0.25">
      <c r="A307" t="s">
        <v>62</v>
      </c>
      <c r="B307" s="85">
        <v>8</v>
      </c>
      <c r="C307" s="63" t="s">
        <v>2718</v>
      </c>
      <c r="D307" s="57" t="s">
        <v>3312</v>
      </c>
      <c r="E307" s="63"/>
      <c r="F307" s="63"/>
      <c r="G307" s="63" t="s">
        <v>3145</v>
      </c>
      <c r="H307" s="57" t="s">
        <v>2922</v>
      </c>
      <c r="I307" s="63"/>
      <c r="J307" s="63"/>
      <c r="K307" s="85">
        <v>0</v>
      </c>
      <c r="L307" s="85">
        <v>0</v>
      </c>
      <c r="M307" s="57" t="s">
        <v>165</v>
      </c>
      <c r="N307" t="s">
        <v>54</v>
      </c>
    </row>
    <row r="308" spans="1:15" x14ac:dyDescent="0.25">
      <c r="A308" s="144" t="s">
        <v>61</v>
      </c>
      <c r="B308" s="141">
        <v>-99</v>
      </c>
      <c r="C308" s="91" t="s">
        <v>292</v>
      </c>
      <c r="E308" s="91"/>
      <c r="G308" s="91" t="s">
        <v>292</v>
      </c>
      <c r="H308" s="91" t="s">
        <v>292</v>
      </c>
      <c r="J308" s="91"/>
      <c r="K308" s="136"/>
      <c r="L308" s="136"/>
      <c r="M308" s="92"/>
      <c r="N308" s="138" t="s">
        <v>54</v>
      </c>
      <c r="O308" s="92"/>
    </row>
    <row r="309" spans="1:15" x14ac:dyDescent="0.25">
      <c r="A309" s="123" t="s">
        <v>61</v>
      </c>
      <c r="B309" s="124">
        <v>0</v>
      </c>
      <c r="C309" s="125" t="s">
        <v>93</v>
      </c>
      <c r="D309" s="125" t="s">
        <v>1927</v>
      </c>
      <c r="E309" s="126" t="s">
        <v>2139</v>
      </c>
      <c r="F309" s="125" t="s">
        <v>2187</v>
      </c>
      <c r="G309" s="125" t="s">
        <v>277</v>
      </c>
      <c r="H309" s="125" t="s">
        <v>278</v>
      </c>
      <c r="I309" s="125" t="s">
        <v>2320</v>
      </c>
      <c r="J309" s="127"/>
      <c r="K309" s="124">
        <v>1</v>
      </c>
      <c r="L309" s="124" t="s">
        <v>605</v>
      </c>
      <c r="M309" s="125" t="s">
        <v>91</v>
      </c>
      <c r="N309" s="123" t="s">
        <v>54</v>
      </c>
      <c r="O309" s="123"/>
    </row>
    <row r="310" spans="1:15" x14ac:dyDescent="0.25">
      <c r="A310" t="s">
        <v>61</v>
      </c>
      <c r="B310" s="85">
        <v>1</v>
      </c>
      <c r="C310" s="62" t="s">
        <v>123</v>
      </c>
      <c r="D310" s="62" t="s">
        <v>1926</v>
      </c>
      <c r="E310" s="69" t="s">
        <v>1658</v>
      </c>
      <c r="F310" s="61" t="s">
        <v>2155</v>
      </c>
      <c r="G310" s="62" t="s">
        <v>332</v>
      </c>
      <c r="H310" s="62" t="s">
        <v>333</v>
      </c>
      <c r="I310" s="75" t="s">
        <v>2341</v>
      </c>
      <c r="J310" s="63"/>
      <c r="K310" s="85">
        <v>1</v>
      </c>
      <c r="L310" s="84" t="s">
        <v>605</v>
      </c>
      <c r="M310" s="62" t="s">
        <v>100</v>
      </c>
      <c r="N310" t="s">
        <v>54</v>
      </c>
    </row>
    <row r="311" spans="1:15" x14ac:dyDescent="0.25">
      <c r="A311" t="s">
        <v>61</v>
      </c>
      <c r="B311" s="85">
        <v>2</v>
      </c>
      <c r="C311" s="104" t="s">
        <v>174</v>
      </c>
      <c r="D311" s="61" t="s">
        <v>6460</v>
      </c>
      <c r="E311" s="77" t="s">
        <v>1660</v>
      </c>
      <c r="F311" s="61" t="s">
        <v>2183</v>
      </c>
      <c r="G311" s="61" t="s">
        <v>415</v>
      </c>
      <c r="H311" s="61" t="s">
        <v>416</v>
      </c>
      <c r="I311" s="75" t="s">
        <v>2375</v>
      </c>
      <c r="J311" s="63"/>
      <c r="K311" s="85">
        <v>0</v>
      </c>
      <c r="L311" s="85" t="s">
        <v>605</v>
      </c>
      <c r="M311" s="61" t="s">
        <v>91</v>
      </c>
      <c r="N311" t="s">
        <v>54</v>
      </c>
    </row>
    <row r="312" spans="1:15" x14ac:dyDescent="0.25">
      <c r="A312" t="s">
        <v>61</v>
      </c>
      <c r="B312" s="85">
        <v>3</v>
      </c>
      <c r="C312" s="63" t="s">
        <v>2714</v>
      </c>
      <c r="D312" s="57" t="s">
        <v>6741</v>
      </c>
      <c r="E312" s="63"/>
      <c r="F312" s="63"/>
      <c r="G312" s="63" t="s">
        <v>3140</v>
      </c>
      <c r="H312" s="57" t="s">
        <v>2918</v>
      </c>
      <c r="I312" s="63"/>
      <c r="J312" s="63" t="s">
        <v>3442</v>
      </c>
      <c r="K312" s="85">
        <v>0</v>
      </c>
      <c r="L312" s="85">
        <v>0</v>
      </c>
      <c r="M312" s="57" t="s">
        <v>92</v>
      </c>
      <c r="N312" t="s">
        <v>54</v>
      </c>
    </row>
    <row r="313" spans="1:15" x14ac:dyDescent="0.25">
      <c r="A313" t="s">
        <v>61</v>
      </c>
      <c r="B313" s="85">
        <v>4</v>
      </c>
      <c r="C313" s="61" t="s">
        <v>176</v>
      </c>
      <c r="D313" s="61" t="s">
        <v>1955</v>
      </c>
      <c r="E313" s="77" t="s">
        <v>1662</v>
      </c>
      <c r="F313" s="61" t="s">
        <v>2213</v>
      </c>
      <c r="G313" s="63" t="s">
        <v>3142</v>
      </c>
      <c r="H313" s="61" t="s">
        <v>419</v>
      </c>
      <c r="I313" s="75" t="s">
        <v>2377</v>
      </c>
      <c r="J313" s="63"/>
      <c r="K313" s="85">
        <v>0</v>
      </c>
      <c r="L313" s="85">
        <v>0</v>
      </c>
      <c r="M313" s="61" t="s">
        <v>100</v>
      </c>
      <c r="N313" t="s">
        <v>54</v>
      </c>
    </row>
    <row r="314" spans="1:15" x14ac:dyDescent="0.25">
      <c r="A314" t="s">
        <v>61</v>
      </c>
      <c r="B314" s="85">
        <v>5</v>
      </c>
      <c r="C314" s="63" t="s">
        <v>2715</v>
      </c>
      <c r="D314" s="57" t="s">
        <v>3320</v>
      </c>
      <c r="E314" s="63"/>
      <c r="F314" s="63"/>
      <c r="G314" s="63" t="s">
        <v>3141</v>
      </c>
      <c r="H314" s="57" t="s">
        <v>2919</v>
      </c>
      <c r="I314" s="63"/>
      <c r="J314" s="63"/>
      <c r="K314" s="85">
        <v>0</v>
      </c>
      <c r="L314" s="85">
        <v>0</v>
      </c>
      <c r="M314" s="57" t="s">
        <v>165</v>
      </c>
      <c r="N314" t="s">
        <v>54</v>
      </c>
    </row>
    <row r="315" spans="1:15" x14ac:dyDescent="0.25">
      <c r="A315" t="s">
        <v>61</v>
      </c>
      <c r="B315" s="85">
        <v>6</v>
      </c>
      <c r="C315" s="61" t="s">
        <v>175</v>
      </c>
      <c r="D315" s="61" t="s">
        <v>1899</v>
      </c>
      <c r="E315" s="77" t="s">
        <v>1661</v>
      </c>
      <c r="F315" s="61" t="s">
        <v>2181</v>
      </c>
      <c r="G315" s="61" t="s">
        <v>417</v>
      </c>
      <c r="H315" s="61" t="s">
        <v>418</v>
      </c>
      <c r="I315" s="75" t="s">
        <v>2376</v>
      </c>
      <c r="J315" s="63"/>
      <c r="K315" s="85">
        <v>0</v>
      </c>
      <c r="L315" s="85">
        <v>0</v>
      </c>
      <c r="M315" s="61" t="s">
        <v>91</v>
      </c>
      <c r="N315" t="s">
        <v>54</v>
      </c>
    </row>
    <row r="316" spans="1:15" x14ac:dyDescent="0.25">
      <c r="A316" s="145" t="s">
        <v>6900</v>
      </c>
      <c r="B316" s="141">
        <v>-99</v>
      </c>
      <c r="C316" s="91" t="s">
        <v>292</v>
      </c>
      <c r="E316" s="91"/>
      <c r="G316" s="91" t="s">
        <v>292</v>
      </c>
      <c r="H316" s="91" t="s">
        <v>292</v>
      </c>
      <c r="J316" s="91"/>
      <c r="K316" s="136"/>
      <c r="L316" s="136"/>
      <c r="M316" s="92"/>
      <c r="N316" s="138" t="s">
        <v>54</v>
      </c>
      <c r="O316" s="92"/>
    </row>
    <row r="317" spans="1:15" x14ac:dyDescent="0.25">
      <c r="A317" s="144" t="s">
        <v>2801</v>
      </c>
      <c r="B317" s="141">
        <v>-99</v>
      </c>
      <c r="C317" s="91" t="s">
        <v>292</v>
      </c>
      <c r="E317" s="91"/>
      <c r="G317" s="91" t="s">
        <v>292</v>
      </c>
      <c r="H317" s="91" t="s">
        <v>292</v>
      </c>
      <c r="J317" s="91"/>
      <c r="K317" s="136"/>
      <c r="L317" s="136"/>
      <c r="M317" s="92"/>
      <c r="N317" s="138" t="s">
        <v>54</v>
      </c>
      <c r="O317" s="92"/>
    </row>
    <row r="318" spans="1:15" x14ac:dyDescent="0.25">
      <c r="A318" t="s">
        <v>2801</v>
      </c>
      <c r="B318" s="141">
        <v>-99</v>
      </c>
      <c r="C318" s="91" t="s">
        <v>6807</v>
      </c>
      <c r="E318" s="91"/>
      <c r="G318" s="91" t="s">
        <v>6903</v>
      </c>
      <c r="H318" s="91" t="s">
        <v>6904</v>
      </c>
      <c r="J318" s="91"/>
      <c r="K318" s="136"/>
      <c r="L318" s="136"/>
      <c r="M318" s="91" t="s">
        <v>3009</v>
      </c>
      <c r="N318" s="138" t="s">
        <v>54</v>
      </c>
      <c r="O318" s="91"/>
    </row>
    <row r="319" spans="1:15" x14ac:dyDescent="0.25">
      <c r="A319" t="s">
        <v>2801</v>
      </c>
      <c r="B319" s="141">
        <v>-99</v>
      </c>
      <c r="C319" s="91" t="s">
        <v>6806</v>
      </c>
      <c r="E319" s="91"/>
      <c r="G319" s="91" t="s">
        <v>6901</v>
      </c>
      <c r="H319" s="91" t="s">
        <v>6902</v>
      </c>
      <c r="J319" s="91"/>
      <c r="K319" s="136"/>
      <c r="L319" s="136"/>
      <c r="M319" s="91" t="s">
        <v>3004</v>
      </c>
      <c r="N319" s="138" t="s">
        <v>54</v>
      </c>
      <c r="O319" s="91"/>
    </row>
    <row r="320" spans="1:15" x14ac:dyDescent="0.25">
      <c r="A320" t="s">
        <v>2801</v>
      </c>
      <c r="B320" s="141">
        <v>-99</v>
      </c>
      <c r="C320" s="91" t="s">
        <v>6809</v>
      </c>
      <c r="E320" s="91"/>
      <c r="G320" s="91" t="s">
        <v>6907</v>
      </c>
      <c r="H320" s="91" t="s">
        <v>6908</v>
      </c>
      <c r="J320" s="91"/>
      <c r="K320" s="136"/>
      <c r="L320" s="136"/>
      <c r="M320" s="91" t="s">
        <v>3009</v>
      </c>
      <c r="N320" s="138" t="s">
        <v>54</v>
      </c>
      <c r="O320" s="91"/>
    </row>
    <row r="321" spans="1:15" x14ac:dyDescent="0.25">
      <c r="A321" t="s">
        <v>2801</v>
      </c>
      <c r="B321" s="141">
        <v>-99</v>
      </c>
      <c r="C321" s="91" t="s">
        <v>6808</v>
      </c>
      <c r="E321" s="91"/>
      <c r="G321" s="91" t="s">
        <v>6905</v>
      </c>
      <c r="H321" s="91" t="s">
        <v>6906</v>
      </c>
      <c r="J321" s="91"/>
      <c r="K321" s="136"/>
      <c r="L321" s="136"/>
      <c r="M321" s="91" t="s">
        <v>3004</v>
      </c>
      <c r="N321" s="138" t="s">
        <v>54</v>
      </c>
      <c r="O321" s="91"/>
    </row>
    <row r="322" spans="1:15" x14ac:dyDescent="0.25">
      <c r="A322" s="118" t="s">
        <v>2801</v>
      </c>
      <c r="B322" s="119">
        <v>0</v>
      </c>
      <c r="C322" s="73" t="s">
        <v>93</v>
      </c>
      <c r="D322" s="73" t="s">
        <v>1927</v>
      </c>
      <c r="E322" s="74" t="s">
        <v>2139</v>
      </c>
      <c r="F322" s="73" t="s">
        <v>2187</v>
      </c>
      <c r="G322" s="73" t="s">
        <v>277</v>
      </c>
      <c r="H322" s="73" t="s">
        <v>278</v>
      </c>
      <c r="I322" s="73" t="s">
        <v>2320</v>
      </c>
      <c r="J322" s="120"/>
      <c r="K322" s="119">
        <v>1</v>
      </c>
      <c r="L322" s="119" t="s">
        <v>605</v>
      </c>
      <c r="M322" s="73" t="s">
        <v>91</v>
      </c>
      <c r="N322" s="118" t="s">
        <v>54</v>
      </c>
      <c r="O322" s="118"/>
    </row>
    <row r="323" spans="1:15" x14ac:dyDescent="0.25">
      <c r="A323" t="s">
        <v>2801</v>
      </c>
      <c r="B323" s="85">
        <v>1</v>
      </c>
      <c r="C323" s="66" t="s">
        <v>130</v>
      </c>
      <c r="D323" s="62" t="s">
        <v>1926</v>
      </c>
      <c r="E323" s="28"/>
      <c r="F323" s="28"/>
      <c r="G323" s="28"/>
      <c r="H323" s="28"/>
      <c r="I323" s="28"/>
      <c r="J323" s="63"/>
      <c r="K323" s="85">
        <v>1</v>
      </c>
      <c r="L323" s="84" t="s">
        <v>605</v>
      </c>
      <c r="M323" s="28"/>
      <c r="N323" t="s">
        <v>54</v>
      </c>
    </row>
    <row r="324" spans="1:15" x14ac:dyDescent="0.25">
      <c r="A324" t="s">
        <v>2801</v>
      </c>
      <c r="B324" s="85">
        <v>2</v>
      </c>
      <c r="C324" s="105" t="s">
        <v>2755</v>
      </c>
      <c r="D324" s="61" t="s">
        <v>6462</v>
      </c>
      <c r="E324" s="63"/>
      <c r="F324" s="61" t="s">
        <v>2183</v>
      </c>
      <c r="G324" s="63" t="s">
        <v>3187</v>
      </c>
      <c r="H324" s="57" t="s">
        <v>2959</v>
      </c>
      <c r="I324" s="63"/>
      <c r="J324" s="63"/>
      <c r="K324" s="85">
        <v>0</v>
      </c>
      <c r="L324" s="85" t="s">
        <v>605</v>
      </c>
      <c r="M324" s="57" t="s">
        <v>91</v>
      </c>
      <c r="N324" t="s">
        <v>54</v>
      </c>
    </row>
    <row r="325" spans="1:15" x14ac:dyDescent="0.25">
      <c r="A325" t="s">
        <v>2801</v>
      </c>
      <c r="B325" s="85">
        <v>3</v>
      </c>
      <c r="C325" s="63" t="s">
        <v>2757</v>
      </c>
      <c r="D325" s="61" t="s">
        <v>3313</v>
      </c>
      <c r="E325" s="63"/>
      <c r="F325" s="63"/>
      <c r="G325" s="63" t="s">
        <v>3189</v>
      </c>
      <c r="H325" s="57" t="s">
        <v>2961</v>
      </c>
      <c r="I325" s="63"/>
      <c r="J325" s="63"/>
      <c r="K325" s="85">
        <v>0</v>
      </c>
      <c r="L325" s="85" t="s">
        <v>605</v>
      </c>
      <c r="M325" s="57" t="s">
        <v>153</v>
      </c>
      <c r="N325" t="s">
        <v>54</v>
      </c>
    </row>
    <row r="326" spans="1:15" x14ac:dyDescent="0.25">
      <c r="A326" t="s">
        <v>2801</v>
      </c>
      <c r="B326" s="85">
        <v>4</v>
      </c>
      <c r="C326" s="63" t="s">
        <v>2762</v>
      </c>
      <c r="D326" s="61" t="s">
        <v>3314</v>
      </c>
      <c r="E326" s="63"/>
      <c r="F326" s="63"/>
      <c r="G326" s="63" t="s">
        <v>3194</v>
      </c>
      <c r="H326" s="57" t="s">
        <v>2966</v>
      </c>
      <c r="I326" s="63"/>
      <c r="J326" s="63"/>
      <c r="K326" s="85">
        <v>0</v>
      </c>
      <c r="L326" s="85" t="s">
        <v>605</v>
      </c>
      <c r="M326" s="57" t="s">
        <v>153</v>
      </c>
      <c r="N326" t="s">
        <v>54</v>
      </c>
    </row>
    <row r="327" spans="1:15" x14ac:dyDescent="0.25">
      <c r="A327" t="s">
        <v>2801</v>
      </c>
      <c r="B327" s="85">
        <v>5</v>
      </c>
      <c r="C327" s="63" t="s">
        <v>2758</v>
      </c>
      <c r="D327" s="57" t="s">
        <v>3315</v>
      </c>
      <c r="E327" s="63"/>
      <c r="F327" s="63"/>
      <c r="G327" s="63" t="s">
        <v>3190</v>
      </c>
      <c r="H327" s="57" t="s">
        <v>3451</v>
      </c>
      <c r="I327" s="63"/>
      <c r="J327" s="63" t="s">
        <v>3452</v>
      </c>
      <c r="K327" s="85">
        <v>0</v>
      </c>
      <c r="L327" s="85">
        <v>0</v>
      </c>
      <c r="M327" s="57" t="s">
        <v>92</v>
      </c>
      <c r="N327" t="s">
        <v>54</v>
      </c>
    </row>
    <row r="328" spans="1:15" x14ac:dyDescent="0.25">
      <c r="A328" t="s">
        <v>2801</v>
      </c>
      <c r="B328" s="85">
        <v>6</v>
      </c>
      <c r="C328" s="63" t="s">
        <v>2763</v>
      </c>
      <c r="D328" s="57" t="s">
        <v>3316</v>
      </c>
      <c r="E328" s="63"/>
      <c r="F328" s="63"/>
      <c r="G328" s="63" t="s">
        <v>3195</v>
      </c>
      <c r="H328" s="57" t="s">
        <v>2967</v>
      </c>
      <c r="I328" s="63"/>
      <c r="J328" s="63" t="s">
        <v>3452</v>
      </c>
      <c r="K328" s="85">
        <v>0</v>
      </c>
      <c r="L328" s="85">
        <v>0</v>
      </c>
      <c r="M328" s="57" t="s">
        <v>92</v>
      </c>
      <c r="N328" t="s">
        <v>54</v>
      </c>
    </row>
    <row r="329" spans="1:15" x14ac:dyDescent="0.25">
      <c r="A329" t="s">
        <v>2801</v>
      </c>
      <c r="B329" s="85">
        <v>7</v>
      </c>
      <c r="C329" s="63" t="s">
        <v>2760</v>
      </c>
      <c r="D329" s="57" t="s">
        <v>3317</v>
      </c>
      <c r="E329" s="63"/>
      <c r="F329" s="63"/>
      <c r="G329" s="63" t="s">
        <v>3192</v>
      </c>
      <c r="H329" s="57" t="s">
        <v>2964</v>
      </c>
      <c r="I329" s="63"/>
      <c r="J329" s="63"/>
      <c r="K329" s="85">
        <v>0</v>
      </c>
      <c r="L329" s="85">
        <v>0</v>
      </c>
      <c r="M329" s="57" t="s">
        <v>3021</v>
      </c>
      <c r="N329" t="s">
        <v>54</v>
      </c>
    </row>
    <row r="330" spans="1:15" x14ac:dyDescent="0.25">
      <c r="A330" t="s">
        <v>2801</v>
      </c>
      <c r="B330" s="85">
        <v>8</v>
      </c>
      <c r="C330" s="63" t="s">
        <v>2759</v>
      </c>
      <c r="D330" s="57" t="s">
        <v>3318</v>
      </c>
      <c r="E330" s="63"/>
      <c r="F330" s="63"/>
      <c r="G330" s="63" t="s">
        <v>3191</v>
      </c>
      <c r="H330" s="57" t="s">
        <v>2963</v>
      </c>
      <c r="I330" s="63"/>
      <c r="J330" s="63"/>
      <c r="K330" s="85">
        <v>0</v>
      </c>
      <c r="L330" s="85">
        <v>0</v>
      </c>
      <c r="M330" s="57" t="s">
        <v>165</v>
      </c>
      <c r="N330" t="s">
        <v>54</v>
      </c>
    </row>
    <row r="331" spans="1:15" x14ac:dyDescent="0.25">
      <c r="A331" t="s">
        <v>2801</v>
      </c>
      <c r="B331" s="85">
        <v>9</v>
      </c>
      <c r="C331" s="63" t="s">
        <v>2761</v>
      </c>
      <c r="D331" s="57" t="s">
        <v>3319</v>
      </c>
      <c r="E331" s="63"/>
      <c r="F331" s="63"/>
      <c r="G331" s="63" t="s">
        <v>3193</v>
      </c>
      <c r="H331" s="57" t="s">
        <v>2965</v>
      </c>
      <c r="I331" s="63"/>
      <c r="J331" s="63" t="s">
        <v>3684</v>
      </c>
      <c r="K331" s="85">
        <v>0</v>
      </c>
      <c r="L331" s="85">
        <v>0</v>
      </c>
      <c r="M331" s="57" t="s">
        <v>92</v>
      </c>
      <c r="N331" t="s">
        <v>54</v>
      </c>
    </row>
    <row r="332" spans="1:15" x14ac:dyDescent="0.25">
      <c r="A332" t="s">
        <v>2801</v>
      </c>
      <c r="B332" s="85">
        <v>10</v>
      </c>
      <c r="C332" s="63" t="s">
        <v>2756</v>
      </c>
      <c r="D332" s="57" t="s">
        <v>1899</v>
      </c>
      <c r="E332" s="63"/>
      <c r="F332" s="61" t="s">
        <v>2181</v>
      </c>
      <c r="G332" s="63" t="s">
        <v>3188</v>
      </c>
      <c r="H332" s="57" t="s">
        <v>2960</v>
      </c>
      <c r="I332" s="63"/>
      <c r="J332" s="63"/>
      <c r="K332" s="85">
        <v>0</v>
      </c>
      <c r="L332" s="85">
        <v>0</v>
      </c>
      <c r="M332" s="57" t="s">
        <v>91</v>
      </c>
      <c r="N332" t="s">
        <v>54</v>
      </c>
    </row>
    <row r="333" spans="1:15" x14ac:dyDescent="0.25">
      <c r="A333" s="37" t="s">
        <v>79</v>
      </c>
      <c r="B333" s="129">
        <v>-99</v>
      </c>
      <c r="C333" s="37" t="s">
        <v>2603</v>
      </c>
      <c r="D333" s="93" t="s">
        <v>2808</v>
      </c>
      <c r="E333" s="37"/>
      <c r="F333" s="37"/>
      <c r="G333" s="93" t="s">
        <v>634</v>
      </c>
      <c r="H333" s="93" t="s">
        <v>2808</v>
      </c>
      <c r="I333" s="37"/>
      <c r="J333" s="37"/>
      <c r="K333" s="37"/>
      <c r="L333" s="129">
        <v>0</v>
      </c>
      <c r="M333" s="37" t="s">
        <v>100</v>
      </c>
      <c r="N333" s="37" t="s">
        <v>80</v>
      </c>
      <c r="O333" s="37"/>
    </row>
    <row r="334" spans="1:15" x14ac:dyDescent="0.25">
      <c r="A334" t="s">
        <v>79</v>
      </c>
      <c r="B334" s="141">
        <v>-99</v>
      </c>
      <c r="C334" t="s">
        <v>292</v>
      </c>
      <c r="D334" s="69" t="s">
        <v>6580</v>
      </c>
      <c r="G334" s="91" t="s">
        <v>4144</v>
      </c>
      <c r="H334" s="91" t="s">
        <v>292</v>
      </c>
      <c r="L334" s="13" t="s">
        <v>605</v>
      </c>
      <c r="N334" t="s">
        <v>80</v>
      </c>
    </row>
    <row r="335" spans="1:15" x14ac:dyDescent="0.25">
      <c r="A335" s="37" t="s">
        <v>79</v>
      </c>
      <c r="B335" s="129">
        <v>-99</v>
      </c>
      <c r="C335" s="37" t="s">
        <v>2602</v>
      </c>
      <c r="D335" s="93" t="s">
        <v>5085</v>
      </c>
      <c r="E335" s="37"/>
      <c r="F335" s="37"/>
      <c r="G335" s="93" t="s">
        <v>3026</v>
      </c>
      <c r="H335" s="93" t="s">
        <v>5085</v>
      </c>
      <c r="I335" s="37"/>
      <c r="J335" s="37"/>
      <c r="K335" s="37"/>
      <c r="L335" s="129">
        <v>0</v>
      </c>
      <c r="M335" s="37" t="s">
        <v>100</v>
      </c>
      <c r="N335" s="37" t="s">
        <v>80</v>
      </c>
      <c r="O335" s="37"/>
    </row>
    <row r="336" spans="1:15" x14ac:dyDescent="0.25">
      <c r="A336" s="37" t="s">
        <v>79</v>
      </c>
      <c r="B336" s="129">
        <v>-99</v>
      </c>
      <c r="C336" s="37" t="s">
        <v>2600</v>
      </c>
      <c r="D336" s="37" t="s">
        <v>2805</v>
      </c>
      <c r="E336" s="37"/>
      <c r="F336" s="37"/>
      <c r="G336" s="93" t="s">
        <v>3024</v>
      </c>
      <c r="H336" s="93" t="s">
        <v>2805</v>
      </c>
      <c r="I336" s="37"/>
      <c r="J336" s="37"/>
      <c r="K336" s="37"/>
      <c r="L336" s="129">
        <v>0</v>
      </c>
      <c r="M336" s="37" t="s">
        <v>100</v>
      </c>
      <c r="N336" s="37" t="s">
        <v>80</v>
      </c>
      <c r="O336" s="37"/>
    </row>
    <row r="337" spans="1:15" x14ac:dyDescent="0.25">
      <c r="A337" s="37" t="s">
        <v>79</v>
      </c>
      <c r="B337" s="129">
        <v>-99</v>
      </c>
      <c r="C337" s="37" t="s">
        <v>2601</v>
      </c>
      <c r="D337" s="37" t="s">
        <v>2806</v>
      </c>
      <c r="E337" s="37"/>
      <c r="F337" s="37"/>
      <c r="G337" s="93" t="s">
        <v>3025</v>
      </c>
      <c r="H337" s="93" t="s">
        <v>2806</v>
      </c>
      <c r="I337" s="37"/>
      <c r="J337" s="37"/>
      <c r="K337" s="37"/>
      <c r="L337" s="129">
        <v>0</v>
      </c>
      <c r="M337" s="37" t="s">
        <v>100</v>
      </c>
      <c r="N337" s="37" t="s">
        <v>80</v>
      </c>
      <c r="O337" s="37"/>
    </row>
    <row r="338" spans="1:15" x14ac:dyDescent="0.25">
      <c r="A338" s="123" t="s">
        <v>79</v>
      </c>
      <c r="B338" s="124">
        <v>0</v>
      </c>
      <c r="C338" s="125" t="s">
        <v>93</v>
      </c>
      <c r="D338" s="125" t="s">
        <v>1927</v>
      </c>
      <c r="E338" s="126" t="s">
        <v>2139</v>
      </c>
      <c r="F338" s="125" t="s">
        <v>2187</v>
      </c>
      <c r="G338" s="125" t="s">
        <v>277</v>
      </c>
      <c r="H338" s="125" t="s">
        <v>278</v>
      </c>
      <c r="I338" s="125" t="s">
        <v>2320</v>
      </c>
      <c r="J338" s="127"/>
      <c r="K338" s="124">
        <v>1</v>
      </c>
      <c r="L338" s="124" t="s">
        <v>605</v>
      </c>
      <c r="M338" s="125" t="s">
        <v>91</v>
      </c>
      <c r="N338" s="123" t="s">
        <v>80</v>
      </c>
      <c r="O338" s="123"/>
    </row>
    <row r="339" spans="1:15" x14ac:dyDescent="0.25">
      <c r="A339" t="s">
        <v>79</v>
      </c>
      <c r="B339" s="114">
        <v>2</v>
      </c>
      <c r="C339" t="s">
        <v>258</v>
      </c>
      <c r="D339" s="57" t="s">
        <v>6764</v>
      </c>
      <c r="E339" s="77" t="s">
        <v>1595</v>
      </c>
      <c r="F339" s="61" t="s">
        <v>2227</v>
      </c>
      <c r="G339" s="61" t="s">
        <v>465</v>
      </c>
      <c r="H339" s="61" t="s">
        <v>466</v>
      </c>
      <c r="I339" s="75" t="s">
        <v>2401</v>
      </c>
      <c r="J339" s="63"/>
      <c r="K339" s="84">
        <v>1</v>
      </c>
      <c r="L339" s="85" t="s">
        <v>605</v>
      </c>
      <c r="M339" s="61" t="s">
        <v>100</v>
      </c>
      <c r="N339" t="s">
        <v>80</v>
      </c>
    </row>
    <row r="340" spans="1:15" x14ac:dyDescent="0.25">
      <c r="A340" s="123" t="s">
        <v>79</v>
      </c>
      <c r="B340" s="130">
        <v>3</v>
      </c>
      <c r="C340" s="123" t="s">
        <v>6443</v>
      </c>
      <c r="D340" s="126" t="s">
        <v>6746</v>
      </c>
      <c r="E340" s="123"/>
      <c r="F340" s="123"/>
      <c r="G340" s="131"/>
      <c r="H340" s="131"/>
      <c r="I340" s="123"/>
      <c r="J340" s="123"/>
      <c r="K340" s="123"/>
      <c r="L340" s="130" t="s">
        <v>605</v>
      </c>
      <c r="M340" s="123" t="s">
        <v>91</v>
      </c>
      <c r="N340" s="123" t="s">
        <v>80</v>
      </c>
      <c r="O340" s="123"/>
    </row>
    <row r="341" spans="1:15" x14ac:dyDescent="0.25">
      <c r="A341" t="s">
        <v>79</v>
      </c>
      <c r="B341" s="13">
        <v>4</v>
      </c>
      <c r="C341" t="s">
        <v>116</v>
      </c>
      <c r="D341" t="s">
        <v>6581</v>
      </c>
      <c r="E341" s="77" t="s">
        <v>1531</v>
      </c>
      <c r="F341" s="61" t="s">
        <v>2223</v>
      </c>
      <c r="G341" s="61" t="s">
        <v>318</v>
      </c>
      <c r="H341" s="61" t="s">
        <v>319</v>
      </c>
      <c r="I341" s="75" t="s">
        <v>2223</v>
      </c>
      <c r="J341" s="63"/>
      <c r="K341" s="84">
        <v>1</v>
      </c>
      <c r="L341" s="85" t="s">
        <v>605</v>
      </c>
      <c r="M341" s="61" t="s">
        <v>100</v>
      </c>
      <c r="N341" t="s">
        <v>80</v>
      </c>
    </row>
    <row r="342" spans="1:15" x14ac:dyDescent="0.25">
      <c r="A342" s="145" t="s">
        <v>2045</v>
      </c>
      <c r="B342" s="141">
        <v>-99</v>
      </c>
      <c r="C342" s="91" t="s">
        <v>292</v>
      </c>
      <c r="E342" s="91"/>
      <c r="G342" s="91" t="s">
        <v>292</v>
      </c>
      <c r="H342" s="91" t="s">
        <v>292</v>
      </c>
      <c r="J342" s="91"/>
      <c r="K342" s="136"/>
      <c r="L342" s="136"/>
      <c r="M342" s="92"/>
      <c r="N342" s="138" t="s">
        <v>54</v>
      </c>
      <c r="O342" s="92"/>
    </row>
    <row r="343" spans="1:15" x14ac:dyDescent="0.25">
      <c r="A343" t="s">
        <v>2045</v>
      </c>
      <c r="B343" s="116">
        <v>-99</v>
      </c>
      <c r="C343" s="64" t="s">
        <v>6944</v>
      </c>
      <c r="D343" s="62" t="s">
        <v>2063</v>
      </c>
      <c r="E343" s="63"/>
      <c r="F343" s="62" t="s">
        <v>2182</v>
      </c>
      <c r="G343" s="63" t="s">
        <v>2095</v>
      </c>
      <c r="H343" s="57" t="s">
        <v>2093</v>
      </c>
      <c r="I343" s="63"/>
      <c r="J343" s="63"/>
      <c r="K343" s="85">
        <v>0</v>
      </c>
      <c r="L343" s="85" t="s">
        <v>605</v>
      </c>
      <c r="M343" s="57" t="s">
        <v>153</v>
      </c>
      <c r="N343" t="s">
        <v>54</v>
      </c>
    </row>
    <row r="344" spans="1:15" x14ac:dyDescent="0.25">
      <c r="A344" s="145" t="s">
        <v>2045</v>
      </c>
      <c r="B344" s="141">
        <v>-99</v>
      </c>
      <c r="C344" s="91" t="s">
        <v>6805</v>
      </c>
      <c r="E344" s="91"/>
      <c r="G344" s="91" t="s">
        <v>6898</v>
      </c>
      <c r="H344" s="91" t="s">
        <v>6899</v>
      </c>
      <c r="J344" s="91"/>
      <c r="K344" s="136"/>
      <c r="L344" s="136"/>
      <c r="M344" s="91" t="s">
        <v>3009</v>
      </c>
      <c r="N344" s="138" t="s">
        <v>54</v>
      </c>
      <c r="O344" s="92"/>
    </row>
    <row r="345" spans="1:15" ht="13.5" customHeight="1" x14ac:dyDescent="0.25">
      <c r="A345" s="123" t="s">
        <v>2045</v>
      </c>
      <c r="B345" s="124">
        <v>0</v>
      </c>
      <c r="C345" s="125" t="s">
        <v>93</v>
      </c>
      <c r="D345" s="125" t="s">
        <v>1927</v>
      </c>
      <c r="E345" s="126" t="s">
        <v>2139</v>
      </c>
      <c r="F345" s="125" t="s">
        <v>2187</v>
      </c>
      <c r="G345" s="125" t="s">
        <v>277</v>
      </c>
      <c r="H345" s="125" t="s">
        <v>278</v>
      </c>
      <c r="I345" s="125" t="s">
        <v>2320</v>
      </c>
      <c r="J345" s="127"/>
      <c r="K345" s="124">
        <v>1</v>
      </c>
      <c r="L345" s="124" t="s">
        <v>605</v>
      </c>
      <c r="M345" s="125" t="s">
        <v>91</v>
      </c>
      <c r="N345" s="123" t="s">
        <v>54</v>
      </c>
      <c r="O345" s="123"/>
    </row>
    <row r="346" spans="1:15" x14ac:dyDescent="0.25">
      <c r="A346" t="s">
        <v>2045</v>
      </c>
      <c r="B346" s="116">
        <v>1</v>
      </c>
      <c r="C346" s="61" t="s">
        <v>125</v>
      </c>
      <c r="D346" s="61" t="s">
        <v>1954</v>
      </c>
      <c r="E346" s="61"/>
      <c r="F346" s="61" t="s">
        <v>2184</v>
      </c>
      <c r="G346" s="61" t="s">
        <v>336</v>
      </c>
      <c r="H346" s="61" t="s">
        <v>2094</v>
      </c>
      <c r="I346" s="75" t="s">
        <v>2458</v>
      </c>
      <c r="J346" s="63"/>
      <c r="K346" s="85">
        <v>1</v>
      </c>
      <c r="L346" s="84" t="s">
        <v>605</v>
      </c>
      <c r="M346" s="61" t="s">
        <v>100</v>
      </c>
      <c r="N346" t="s">
        <v>54</v>
      </c>
    </row>
    <row r="347" spans="1:15" x14ac:dyDescent="0.25">
      <c r="A347" s="145" t="s">
        <v>2045</v>
      </c>
      <c r="B347" s="141">
        <v>2</v>
      </c>
      <c r="C347" s="91" t="s">
        <v>6804</v>
      </c>
      <c r="E347" s="91"/>
      <c r="G347" s="91" t="s">
        <v>6896</v>
      </c>
      <c r="H347" s="91" t="s">
        <v>6897</v>
      </c>
      <c r="J347" s="91"/>
      <c r="K347" s="136"/>
      <c r="L347" s="136"/>
      <c r="M347" s="91" t="s">
        <v>3004</v>
      </c>
      <c r="N347" s="138" t="s">
        <v>54</v>
      </c>
      <c r="O347" s="92"/>
    </row>
    <row r="348" spans="1:15" x14ac:dyDescent="0.25">
      <c r="A348" t="s">
        <v>2045</v>
      </c>
      <c r="B348" s="116">
        <v>2</v>
      </c>
      <c r="C348" s="61" t="s">
        <v>2016</v>
      </c>
      <c r="D348" s="62" t="s">
        <v>2063</v>
      </c>
      <c r="E348" s="61"/>
      <c r="F348" s="62" t="s">
        <v>2182</v>
      </c>
      <c r="G348" s="61" t="s">
        <v>2095</v>
      </c>
      <c r="H348" s="61" t="s">
        <v>2093</v>
      </c>
      <c r="I348" s="75" t="s">
        <v>2459</v>
      </c>
      <c r="J348" s="63"/>
      <c r="K348" s="85">
        <v>0</v>
      </c>
      <c r="L348" s="85" t="s">
        <v>605</v>
      </c>
      <c r="M348" s="61" t="s">
        <v>153</v>
      </c>
      <c r="N348" t="s">
        <v>54</v>
      </c>
    </row>
    <row r="349" spans="1:15" x14ac:dyDescent="0.25">
      <c r="A349" t="s">
        <v>2045</v>
      </c>
      <c r="B349" s="116">
        <v>4</v>
      </c>
      <c r="C349" s="61" t="s">
        <v>2022</v>
      </c>
      <c r="D349" s="61" t="s">
        <v>2023</v>
      </c>
      <c r="E349" s="61"/>
      <c r="F349" s="61" t="s">
        <v>2292</v>
      </c>
      <c r="G349" s="61" t="s">
        <v>2097</v>
      </c>
      <c r="H349" s="61" t="s">
        <v>2096</v>
      </c>
      <c r="I349" s="75" t="s">
        <v>2460</v>
      </c>
      <c r="J349" s="63" t="s">
        <v>3467</v>
      </c>
      <c r="K349" s="85">
        <v>0</v>
      </c>
      <c r="L349" s="85">
        <v>2</v>
      </c>
      <c r="M349" s="23" t="s">
        <v>92</v>
      </c>
      <c r="N349" t="s">
        <v>54</v>
      </c>
    </row>
    <row r="350" spans="1:15" x14ac:dyDescent="0.25">
      <c r="A350" t="s">
        <v>2045</v>
      </c>
      <c r="B350" s="116">
        <v>5</v>
      </c>
      <c r="C350" s="61" t="s">
        <v>2018</v>
      </c>
      <c r="D350" s="61" t="s">
        <v>1956</v>
      </c>
      <c r="E350" s="61"/>
      <c r="F350" s="61" t="s">
        <v>2276</v>
      </c>
      <c r="G350" s="61" t="s">
        <v>2100</v>
      </c>
      <c r="H350" s="61" t="s">
        <v>2098</v>
      </c>
      <c r="I350" s="75" t="s">
        <v>2461</v>
      </c>
      <c r="J350" s="63" t="s">
        <v>3438</v>
      </c>
      <c r="K350" s="85">
        <v>0</v>
      </c>
      <c r="L350" s="85">
        <v>0</v>
      </c>
      <c r="M350" s="61" t="s">
        <v>92</v>
      </c>
      <c r="N350" t="s">
        <v>54</v>
      </c>
    </row>
    <row r="351" spans="1:15" x14ac:dyDescent="0.25">
      <c r="A351" t="s">
        <v>2045</v>
      </c>
      <c r="B351" s="116">
        <v>6</v>
      </c>
      <c r="C351" s="61" t="s">
        <v>2019</v>
      </c>
      <c r="D351" s="61" t="s">
        <v>1889</v>
      </c>
      <c r="E351" s="61"/>
      <c r="F351" s="61" t="s">
        <v>2218</v>
      </c>
      <c r="G351" s="61" t="s">
        <v>2101</v>
      </c>
      <c r="H351" s="61" t="s">
        <v>2099</v>
      </c>
      <c r="I351" s="75" t="s">
        <v>2462</v>
      </c>
      <c r="J351" s="63"/>
      <c r="K351" s="85">
        <v>0</v>
      </c>
      <c r="L351" s="85">
        <v>0</v>
      </c>
      <c r="M351" s="61" t="s">
        <v>156</v>
      </c>
      <c r="N351" t="s">
        <v>54</v>
      </c>
    </row>
    <row r="352" spans="1:15" x14ac:dyDescent="0.25">
      <c r="A352" t="s">
        <v>2045</v>
      </c>
      <c r="B352" s="116">
        <v>7</v>
      </c>
      <c r="C352" s="63" t="s">
        <v>2750</v>
      </c>
      <c r="D352" s="57" t="s">
        <v>3388</v>
      </c>
      <c r="E352" s="63"/>
      <c r="F352" s="63"/>
      <c r="G352" s="63" t="s">
        <v>3179</v>
      </c>
      <c r="H352" s="57" t="s">
        <v>2954</v>
      </c>
      <c r="I352" s="63"/>
      <c r="J352" s="63"/>
      <c r="K352" s="85">
        <v>0</v>
      </c>
      <c r="L352" s="85">
        <v>0</v>
      </c>
      <c r="M352" s="57" t="s">
        <v>195</v>
      </c>
      <c r="N352" t="s">
        <v>54</v>
      </c>
    </row>
    <row r="353" spans="1:15" x14ac:dyDescent="0.25">
      <c r="A353" t="s">
        <v>2045</v>
      </c>
      <c r="B353" s="116">
        <v>8</v>
      </c>
      <c r="C353" s="61" t="s">
        <v>2020</v>
      </c>
      <c r="D353" s="61" t="s">
        <v>2021</v>
      </c>
      <c r="E353" s="61"/>
      <c r="F353" s="61" t="s">
        <v>2282</v>
      </c>
      <c r="G353" s="61" t="s">
        <v>2104</v>
      </c>
      <c r="H353" s="61" t="s">
        <v>2102</v>
      </c>
      <c r="I353" s="75" t="s">
        <v>2486</v>
      </c>
      <c r="J353" s="63"/>
      <c r="K353" s="85">
        <v>0</v>
      </c>
      <c r="L353" s="85">
        <v>2</v>
      </c>
      <c r="M353" s="61" t="s">
        <v>262</v>
      </c>
      <c r="N353" t="s">
        <v>54</v>
      </c>
    </row>
    <row r="354" spans="1:15" x14ac:dyDescent="0.25">
      <c r="A354" t="s">
        <v>2045</v>
      </c>
      <c r="B354" s="116">
        <v>8</v>
      </c>
      <c r="C354" s="61" t="s">
        <v>2024</v>
      </c>
      <c r="D354" s="61" t="s">
        <v>2025</v>
      </c>
      <c r="E354" s="61"/>
      <c r="F354" s="61" t="s">
        <v>2281</v>
      </c>
      <c r="G354" s="61" t="s">
        <v>2105</v>
      </c>
      <c r="H354" s="61" t="s">
        <v>2103</v>
      </c>
      <c r="I354" s="75" t="s">
        <v>2463</v>
      </c>
      <c r="J354" s="63"/>
      <c r="K354" s="85">
        <v>0</v>
      </c>
      <c r="L354" s="85">
        <v>2</v>
      </c>
      <c r="M354" s="61" t="s">
        <v>262</v>
      </c>
      <c r="N354" t="s">
        <v>54</v>
      </c>
    </row>
    <row r="355" spans="1:15" x14ac:dyDescent="0.25">
      <c r="A355" t="s">
        <v>2045</v>
      </c>
      <c r="B355" s="116">
        <v>8</v>
      </c>
      <c r="C355" s="63" t="s">
        <v>2751</v>
      </c>
      <c r="D355" s="57" t="s">
        <v>3387</v>
      </c>
      <c r="E355" s="63"/>
      <c r="F355" s="63"/>
      <c r="G355" s="63" t="s">
        <v>3180</v>
      </c>
      <c r="H355" s="57" t="s">
        <v>2955</v>
      </c>
      <c r="I355" s="63"/>
      <c r="J355" s="63"/>
      <c r="K355" s="85">
        <v>0</v>
      </c>
      <c r="L355" s="85">
        <v>0</v>
      </c>
      <c r="M355" s="57" t="s">
        <v>195</v>
      </c>
      <c r="N355" t="s">
        <v>54</v>
      </c>
    </row>
    <row r="356" spans="1:15" x14ac:dyDescent="0.25">
      <c r="A356" t="s">
        <v>2045</v>
      </c>
      <c r="B356" s="116">
        <v>9</v>
      </c>
      <c r="C356" s="63" t="s">
        <v>2752</v>
      </c>
      <c r="D356" s="57" t="s">
        <v>3386</v>
      </c>
      <c r="E356" s="63"/>
      <c r="F356" s="63"/>
      <c r="G356" s="63" t="s">
        <v>3181</v>
      </c>
      <c r="H356" s="57" t="s">
        <v>2956</v>
      </c>
      <c r="I356" s="63"/>
      <c r="J356" s="63"/>
      <c r="K356" s="85">
        <v>0</v>
      </c>
      <c r="L356" s="85">
        <v>0</v>
      </c>
      <c r="M356" s="57" t="s">
        <v>195</v>
      </c>
      <c r="N356" t="s">
        <v>54</v>
      </c>
    </row>
    <row r="357" spans="1:15" x14ac:dyDescent="0.25">
      <c r="A357" t="s">
        <v>2045</v>
      </c>
      <c r="B357" s="116">
        <v>10</v>
      </c>
      <c r="C357" s="63" t="s">
        <v>2753</v>
      </c>
      <c r="D357" s="57" t="s">
        <v>3385</v>
      </c>
      <c r="E357" s="63"/>
      <c r="F357" s="63"/>
      <c r="G357" s="63" t="s">
        <v>3182</v>
      </c>
      <c r="H357" s="57" t="s">
        <v>2957</v>
      </c>
      <c r="I357" s="63"/>
      <c r="J357" s="63"/>
      <c r="K357" s="85">
        <v>0</v>
      </c>
      <c r="L357" s="85">
        <v>0</v>
      </c>
      <c r="M357" s="57" t="s">
        <v>195</v>
      </c>
      <c r="N357" t="s">
        <v>54</v>
      </c>
    </row>
    <row r="358" spans="1:15" x14ac:dyDescent="0.25">
      <c r="A358" t="s">
        <v>2045</v>
      </c>
      <c r="B358" s="116">
        <v>11</v>
      </c>
      <c r="C358" s="61" t="s">
        <v>2026</v>
      </c>
      <c r="D358" s="61" t="s">
        <v>2030</v>
      </c>
      <c r="E358" s="61"/>
      <c r="F358" s="61" t="s">
        <v>2280</v>
      </c>
      <c r="G358" s="63" t="s">
        <v>3183</v>
      </c>
      <c r="H358" s="61" t="s">
        <v>2106</v>
      </c>
      <c r="I358" s="75" t="s">
        <v>2464</v>
      </c>
      <c r="J358" s="63"/>
      <c r="K358" s="85">
        <v>0</v>
      </c>
      <c r="L358" s="85">
        <v>1</v>
      </c>
      <c r="M358" s="61" t="s">
        <v>195</v>
      </c>
      <c r="N358" t="s">
        <v>54</v>
      </c>
    </row>
    <row r="359" spans="1:15" x14ac:dyDescent="0.25">
      <c r="A359" t="s">
        <v>2045</v>
      </c>
      <c r="B359" s="116">
        <v>12</v>
      </c>
      <c r="C359" s="61" t="s">
        <v>2027</v>
      </c>
      <c r="D359" s="61" t="s">
        <v>2032</v>
      </c>
      <c r="E359" s="61"/>
      <c r="F359" s="61" t="s">
        <v>2279</v>
      </c>
      <c r="G359" s="63" t="s">
        <v>3184</v>
      </c>
      <c r="H359" s="61" t="s">
        <v>2107</v>
      </c>
      <c r="I359" s="75" t="s">
        <v>2465</v>
      </c>
      <c r="J359" s="63"/>
      <c r="K359" s="85">
        <v>0</v>
      </c>
      <c r="L359" s="85">
        <v>0</v>
      </c>
      <c r="M359" s="61" t="s">
        <v>195</v>
      </c>
      <c r="N359" t="s">
        <v>54</v>
      </c>
    </row>
    <row r="360" spans="1:15" x14ac:dyDescent="0.25">
      <c r="A360" t="s">
        <v>2045</v>
      </c>
      <c r="B360" s="116">
        <v>13</v>
      </c>
      <c r="C360" s="61" t="s">
        <v>2028</v>
      </c>
      <c r="D360" s="61" t="s">
        <v>2033</v>
      </c>
      <c r="E360" s="61"/>
      <c r="F360" s="61" t="s">
        <v>2278</v>
      </c>
      <c r="G360" s="63" t="s">
        <v>3185</v>
      </c>
      <c r="H360" s="61" t="s">
        <v>2108</v>
      </c>
      <c r="I360" s="75" t="s">
        <v>2466</v>
      </c>
      <c r="J360" s="63"/>
      <c r="K360" s="85">
        <v>0</v>
      </c>
      <c r="L360" s="85">
        <v>0</v>
      </c>
      <c r="M360" s="61" t="s">
        <v>195</v>
      </c>
      <c r="N360" t="s">
        <v>54</v>
      </c>
    </row>
    <row r="361" spans="1:15" x14ac:dyDescent="0.25">
      <c r="A361" t="s">
        <v>2045</v>
      </c>
      <c r="B361" s="116">
        <v>14</v>
      </c>
      <c r="C361" s="63" t="s">
        <v>2754</v>
      </c>
      <c r="D361" s="57" t="s">
        <v>3384</v>
      </c>
      <c r="E361" s="63"/>
      <c r="F361" s="63"/>
      <c r="G361" s="63" t="s">
        <v>3186</v>
      </c>
      <c r="H361" s="57" t="s">
        <v>2958</v>
      </c>
      <c r="I361" s="63"/>
      <c r="J361" s="63"/>
      <c r="K361" s="85">
        <v>0</v>
      </c>
      <c r="L361" s="85">
        <v>0</v>
      </c>
      <c r="M361" s="57" t="s">
        <v>195</v>
      </c>
      <c r="N361" t="s">
        <v>54</v>
      </c>
    </row>
    <row r="362" spans="1:15" x14ac:dyDescent="0.25">
      <c r="A362" t="s">
        <v>2045</v>
      </c>
      <c r="B362" s="116">
        <v>15</v>
      </c>
      <c r="C362" s="61" t="s">
        <v>2029</v>
      </c>
      <c r="D362" s="61" t="s">
        <v>2031</v>
      </c>
      <c r="E362" s="61"/>
      <c r="F362" s="61" t="s">
        <v>2277</v>
      </c>
      <c r="G362" s="61" t="s">
        <v>2110</v>
      </c>
      <c r="H362" s="61" t="s">
        <v>2109</v>
      </c>
      <c r="I362" s="75" t="s">
        <v>2467</v>
      </c>
      <c r="J362" s="63"/>
      <c r="K362" s="85">
        <v>0</v>
      </c>
      <c r="L362" s="85">
        <v>0</v>
      </c>
      <c r="M362" s="61" t="s">
        <v>100</v>
      </c>
      <c r="N362" t="s">
        <v>54</v>
      </c>
    </row>
    <row r="363" spans="1:15" x14ac:dyDescent="0.25">
      <c r="A363" s="144" t="s">
        <v>2046</v>
      </c>
      <c r="B363" s="141">
        <v>-99</v>
      </c>
      <c r="C363" s="91" t="s">
        <v>292</v>
      </c>
      <c r="E363" s="91"/>
      <c r="G363" s="91" t="s">
        <v>292</v>
      </c>
      <c r="H363" s="91" t="s">
        <v>292</v>
      </c>
      <c r="J363" s="91"/>
      <c r="K363" s="136"/>
      <c r="L363" s="136"/>
      <c r="M363" s="92"/>
      <c r="N363" s="138" t="s">
        <v>54</v>
      </c>
      <c r="O363" s="92"/>
    </row>
    <row r="364" spans="1:15" x14ac:dyDescent="0.25">
      <c r="A364" s="123" t="s">
        <v>2046</v>
      </c>
      <c r="B364" s="124">
        <v>0</v>
      </c>
      <c r="C364" s="125" t="s">
        <v>93</v>
      </c>
      <c r="D364" s="125" t="s">
        <v>1927</v>
      </c>
      <c r="E364" s="126" t="s">
        <v>2139</v>
      </c>
      <c r="F364" s="125" t="s">
        <v>2187</v>
      </c>
      <c r="G364" s="125" t="s">
        <v>277</v>
      </c>
      <c r="H364" s="125" t="s">
        <v>278</v>
      </c>
      <c r="I364" s="125" t="s">
        <v>2320</v>
      </c>
      <c r="J364" s="127"/>
      <c r="K364" s="124">
        <v>1</v>
      </c>
      <c r="L364" s="124" t="s">
        <v>605</v>
      </c>
      <c r="M364" s="125" t="s">
        <v>91</v>
      </c>
      <c r="N364" s="123" t="s">
        <v>54</v>
      </c>
      <c r="O364" s="123"/>
    </row>
    <row r="365" spans="1:15" x14ac:dyDescent="0.25">
      <c r="A365" t="s">
        <v>2046</v>
      </c>
      <c r="B365" s="85">
        <v>1</v>
      </c>
      <c r="C365" s="61" t="s">
        <v>125</v>
      </c>
      <c r="D365" s="61" t="s">
        <v>1926</v>
      </c>
      <c r="E365" s="61"/>
      <c r="F365" s="61" t="s">
        <v>2155</v>
      </c>
      <c r="G365" s="61" t="s">
        <v>336</v>
      </c>
      <c r="H365" s="61" t="s">
        <v>337</v>
      </c>
      <c r="I365" s="75" t="s">
        <v>2343</v>
      </c>
      <c r="J365" s="63"/>
      <c r="K365" s="85">
        <v>1</v>
      </c>
      <c r="L365" s="84" t="s">
        <v>605</v>
      </c>
      <c r="M365" s="61" t="s">
        <v>100</v>
      </c>
      <c r="N365" t="s">
        <v>54</v>
      </c>
    </row>
    <row r="366" spans="1:15" x14ac:dyDescent="0.25">
      <c r="A366" t="s">
        <v>2046</v>
      </c>
      <c r="B366" s="85">
        <v>2</v>
      </c>
      <c r="C366" s="104" t="s">
        <v>2013</v>
      </c>
      <c r="D366" s="62" t="s">
        <v>6463</v>
      </c>
      <c r="E366" s="61"/>
      <c r="F366" s="61" t="s">
        <v>2183</v>
      </c>
      <c r="G366" s="61" t="s">
        <v>2087</v>
      </c>
      <c r="H366" s="61" t="s">
        <v>2090</v>
      </c>
      <c r="I366" s="75" t="s">
        <v>2456</v>
      </c>
      <c r="J366" s="63"/>
      <c r="K366" s="85">
        <v>0</v>
      </c>
      <c r="L366" s="85" t="s">
        <v>605</v>
      </c>
      <c r="M366" s="61" t="s">
        <v>91</v>
      </c>
      <c r="N366" t="s">
        <v>54</v>
      </c>
    </row>
    <row r="367" spans="1:15" x14ac:dyDescent="0.25">
      <c r="A367" t="s">
        <v>2046</v>
      </c>
      <c r="B367" s="85">
        <v>3</v>
      </c>
      <c r="C367" s="61" t="s">
        <v>2014</v>
      </c>
      <c r="D367" s="61" t="s">
        <v>2015</v>
      </c>
      <c r="E367" s="61"/>
      <c r="F367" s="61" t="s">
        <v>2283</v>
      </c>
      <c r="G367" s="61" t="s">
        <v>2089</v>
      </c>
      <c r="H367" s="61" t="s">
        <v>2092</v>
      </c>
      <c r="I367" s="75" t="s">
        <v>2485</v>
      </c>
      <c r="J367" s="63"/>
      <c r="K367" s="85">
        <v>0</v>
      </c>
      <c r="L367" s="85">
        <v>2</v>
      </c>
      <c r="M367" s="61" t="s">
        <v>262</v>
      </c>
      <c r="N367" t="s">
        <v>54</v>
      </c>
    </row>
    <row r="368" spans="1:15" x14ac:dyDescent="0.25">
      <c r="A368" t="s">
        <v>2046</v>
      </c>
      <c r="B368" s="85">
        <v>4</v>
      </c>
      <c r="C368" s="61" t="s">
        <v>2012</v>
      </c>
      <c r="D368" s="61" t="s">
        <v>1899</v>
      </c>
      <c r="E368" s="61"/>
      <c r="F368" s="61" t="s">
        <v>2181</v>
      </c>
      <c r="G368" s="61" t="s">
        <v>2088</v>
      </c>
      <c r="H368" s="61" t="s">
        <v>2091</v>
      </c>
      <c r="I368" s="75" t="s">
        <v>2457</v>
      </c>
      <c r="J368" s="63"/>
      <c r="K368" s="85">
        <v>0</v>
      </c>
      <c r="L368" s="85">
        <v>0</v>
      </c>
      <c r="M368" s="61" t="s">
        <v>91</v>
      </c>
      <c r="N368" t="s">
        <v>54</v>
      </c>
    </row>
    <row r="369" spans="1:15" x14ac:dyDescent="0.25">
      <c r="A369" s="123" t="s">
        <v>49</v>
      </c>
      <c r="B369" s="124">
        <v>0</v>
      </c>
      <c r="C369" s="125" t="s">
        <v>93</v>
      </c>
      <c r="D369" s="125" t="s">
        <v>1927</v>
      </c>
      <c r="E369" s="126" t="s">
        <v>2139</v>
      </c>
      <c r="F369" s="125" t="s">
        <v>2187</v>
      </c>
      <c r="G369" s="125" t="s">
        <v>277</v>
      </c>
      <c r="H369" s="125" t="s">
        <v>278</v>
      </c>
      <c r="I369" s="125" t="s">
        <v>2320</v>
      </c>
      <c r="J369" s="127"/>
      <c r="K369" s="124">
        <v>1</v>
      </c>
      <c r="L369" s="124" t="s">
        <v>605</v>
      </c>
      <c r="M369" s="125" t="s">
        <v>91</v>
      </c>
      <c r="N369" s="123" t="s">
        <v>45</v>
      </c>
      <c r="O369" s="123"/>
    </row>
    <row r="370" spans="1:15" x14ac:dyDescent="0.25">
      <c r="A370" t="s">
        <v>49</v>
      </c>
      <c r="B370" s="114">
        <v>4</v>
      </c>
      <c r="C370" t="s">
        <v>3844</v>
      </c>
      <c r="D370" t="s">
        <v>6422</v>
      </c>
      <c r="G370" t="s">
        <v>3941</v>
      </c>
      <c r="H370" t="s">
        <v>3942</v>
      </c>
      <c r="L370" s="13">
        <v>0</v>
      </c>
      <c r="N370" t="s">
        <v>45</v>
      </c>
    </row>
    <row r="371" spans="1:15" x14ac:dyDescent="0.25">
      <c r="A371" t="s">
        <v>49</v>
      </c>
      <c r="B371" s="114">
        <v>6</v>
      </c>
      <c r="C371" t="s">
        <v>106</v>
      </c>
      <c r="D371" s="37" t="s">
        <v>6423</v>
      </c>
      <c r="G371" t="s">
        <v>301</v>
      </c>
      <c r="H371" t="s">
        <v>3943</v>
      </c>
      <c r="L371" s="13">
        <v>0</v>
      </c>
      <c r="N371" t="s">
        <v>45</v>
      </c>
    </row>
    <row r="372" spans="1:15" x14ac:dyDescent="0.25">
      <c r="A372" t="s">
        <v>49</v>
      </c>
      <c r="B372" s="114">
        <v>7</v>
      </c>
      <c r="C372" t="s">
        <v>3846</v>
      </c>
      <c r="D372" t="s">
        <v>6424</v>
      </c>
      <c r="G372" t="s">
        <v>3946</v>
      </c>
      <c r="H372" t="s">
        <v>3947</v>
      </c>
      <c r="L372" s="13">
        <v>0</v>
      </c>
      <c r="M372" t="s">
        <v>91</v>
      </c>
      <c r="N372" t="s">
        <v>45</v>
      </c>
    </row>
    <row r="373" spans="1:15" x14ac:dyDescent="0.25">
      <c r="A373" t="s">
        <v>49</v>
      </c>
      <c r="B373" s="114">
        <v>7</v>
      </c>
      <c r="C373" t="s">
        <v>3845</v>
      </c>
      <c r="D373" t="s">
        <v>1899</v>
      </c>
      <c r="G373" t="s">
        <v>3944</v>
      </c>
      <c r="H373" t="s">
        <v>3945</v>
      </c>
      <c r="L373" s="13">
        <v>1</v>
      </c>
      <c r="M373" t="s">
        <v>91</v>
      </c>
      <c r="N373" t="s">
        <v>45</v>
      </c>
    </row>
    <row r="374" spans="1:15" x14ac:dyDescent="0.25">
      <c r="A374" t="s">
        <v>49</v>
      </c>
      <c r="B374" s="115"/>
      <c r="C374" s="61" t="s">
        <v>101</v>
      </c>
      <c r="D374" s="61" t="s">
        <v>1926</v>
      </c>
      <c r="E374" s="77" t="s">
        <v>1517</v>
      </c>
      <c r="F374" s="61" t="s">
        <v>2155</v>
      </c>
      <c r="G374" s="61" t="s">
        <v>291</v>
      </c>
      <c r="H374" s="61" t="s">
        <v>292</v>
      </c>
      <c r="I374" s="61" t="s">
        <v>2331</v>
      </c>
      <c r="J374" s="63"/>
      <c r="K374" s="84">
        <v>1</v>
      </c>
      <c r="L374" s="84" t="s">
        <v>605</v>
      </c>
      <c r="M374" s="61" t="s">
        <v>100</v>
      </c>
      <c r="N374" t="s">
        <v>45</v>
      </c>
    </row>
    <row r="375" spans="1:15" x14ac:dyDescent="0.25">
      <c r="A375" t="s">
        <v>49</v>
      </c>
      <c r="B375" s="115"/>
      <c r="C375" s="106" t="s">
        <v>103</v>
      </c>
      <c r="D375" s="61" t="s">
        <v>1923</v>
      </c>
      <c r="E375" s="77" t="s">
        <v>1519</v>
      </c>
      <c r="F375" s="61" t="s">
        <v>2156</v>
      </c>
      <c r="G375" s="61" t="s">
        <v>295</v>
      </c>
      <c r="H375" s="61" t="s">
        <v>296</v>
      </c>
      <c r="I375" s="61" t="s">
        <v>2489</v>
      </c>
      <c r="J375" s="63"/>
      <c r="K375" s="84">
        <v>0</v>
      </c>
      <c r="L375" s="84">
        <v>0</v>
      </c>
      <c r="M375" s="61" t="s">
        <v>91</v>
      </c>
      <c r="N375" t="s">
        <v>45</v>
      </c>
    </row>
    <row r="376" spans="1:15" x14ac:dyDescent="0.25">
      <c r="A376" t="s">
        <v>49</v>
      </c>
      <c r="B376" s="115"/>
      <c r="C376" s="106" t="s">
        <v>102</v>
      </c>
      <c r="D376" s="61" t="s">
        <v>1922</v>
      </c>
      <c r="E376" s="77" t="s">
        <v>1518</v>
      </c>
      <c r="F376" s="61" t="s">
        <v>2160</v>
      </c>
      <c r="G376" s="61" t="s">
        <v>293</v>
      </c>
      <c r="H376" s="61" t="s">
        <v>294</v>
      </c>
      <c r="I376" s="61" t="s">
        <v>2488</v>
      </c>
      <c r="J376" s="63"/>
      <c r="K376" s="84">
        <v>0</v>
      </c>
      <c r="L376" s="84">
        <v>0</v>
      </c>
      <c r="M376" s="61" t="s">
        <v>91</v>
      </c>
      <c r="N376" t="s">
        <v>45</v>
      </c>
    </row>
    <row r="377" spans="1:15" x14ac:dyDescent="0.25">
      <c r="A377" t="s">
        <v>49</v>
      </c>
      <c r="B377" s="115"/>
      <c r="C377" s="61" t="s">
        <v>104</v>
      </c>
      <c r="D377" s="61" t="s">
        <v>1924</v>
      </c>
      <c r="E377" s="77" t="s">
        <v>1520</v>
      </c>
      <c r="F377" s="61" t="s">
        <v>2161</v>
      </c>
      <c r="G377" s="61" t="s">
        <v>297</v>
      </c>
      <c r="H377" s="61" t="s">
        <v>298</v>
      </c>
      <c r="I377" s="61" t="s">
        <v>2490</v>
      </c>
      <c r="J377" s="63"/>
      <c r="K377" s="84">
        <v>0</v>
      </c>
      <c r="L377" s="84">
        <v>0</v>
      </c>
      <c r="M377" s="61" t="s">
        <v>91</v>
      </c>
      <c r="N377" t="s">
        <v>45</v>
      </c>
    </row>
    <row r="378" spans="1:15" x14ac:dyDescent="0.25">
      <c r="A378" t="s">
        <v>49</v>
      </c>
      <c r="B378" s="115"/>
      <c r="C378" s="61" t="s">
        <v>105</v>
      </c>
      <c r="D378" s="61" t="s">
        <v>1925</v>
      </c>
      <c r="E378" s="77" t="s">
        <v>1521</v>
      </c>
      <c r="F378" s="61" t="s">
        <v>2188</v>
      </c>
      <c r="G378" s="61" t="s">
        <v>299</v>
      </c>
      <c r="H378" s="61" t="s">
        <v>300</v>
      </c>
      <c r="I378" s="61" t="s">
        <v>2491</v>
      </c>
      <c r="J378" s="63" t="s">
        <v>3466</v>
      </c>
      <c r="K378" s="84">
        <v>0</v>
      </c>
      <c r="L378" s="85">
        <v>0</v>
      </c>
      <c r="M378" s="61" t="s">
        <v>92</v>
      </c>
      <c r="N378" t="s">
        <v>45</v>
      </c>
    </row>
    <row r="379" spans="1:15" x14ac:dyDescent="0.25">
      <c r="A379" s="144" t="s">
        <v>60</v>
      </c>
      <c r="B379" s="141">
        <v>-99</v>
      </c>
      <c r="C379" s="91" t="s">
        <v>6790</v>
      </c>
      <c r="E379" s="91"/>
      <c r="G379" s="91" t="s">
        <v>6867</v>
      </c>
      <c r="H379" s="91" t="s">
        <v>6868</v>
      </c>
      <c r="J379" s="91"/>
      <c r="K379" s="136"/>
      <c r="L379" s="136"/>
      <c r="M379" s="91" t="s">
        <v>100</v>
      </c>
      <c r="N379" s="138" t="s">
        <v>54</v>
      </c>
      <c r="O379" s="92"/>
    </row>
    <row r="380" spans="1:15" x14ac:dyDescent="0.25">
      <c r="A380" s="144" t="s">
        <v>60</v>
      </c>
      <c r="B380" s="141">
        <v>-99</v>
      </c>
      <c r="C380" s="91" t="s">
        <v>6789</v>
      </c>
      <c r="E380" s="91"/>
      <c r="G380" s="91" t="s">
        <v>6865</v>
      </c>
      <c r="H380" s="91" t="s">
        <v>6866</v>
      </c>
      <c r="J380" s="91"/>
      <c r="K380" s="136"/>
      <c r="L380" s="136"/>
      <c r="M380" s="91" t="s">
        <v>100</v>
      </c>
      <c r="N380" s="138" t="s">
        <v>54</v>
      </c>
      <c r="O380" s="92"/>
    </row>
    <row r="381" spans="1:15" x14ac:dyDescent="0.25">
      <c r="A381" s="144" t="s">
        <v>60</v>
      </c>
      <c r="B381" s="141">
        <v>-99</v>
      </c>
      <c r="C381" s="91" t="s">
        <v>292</v>
      </c>
      <c r="E381" s="91"/>
      <c r="G381" s="91" t="s">
        <v>292</v>
      </c>
      <c r="H381" s="91" t="s">
        <v>292</v>
      </c>
      <c r="J381" s="91"/>
      <c r="K381" s="136"/>
      <c r="L381" s="136"/>
      <c r="M381" s="92"/>
      <c r="N381" s="138" t="s">
        <v>54</v>
      </c>
      <c r="O381" s="92"/>
    </row>
    <row r="382" spans="1:15" x14ac:dyDescent="0.25">
      <c r="A382" s="144" t="s">
        <v>60</v>
      </c>
      <c r="B382" s="141">
        <v>-99</v>
      </c>
      <c r="C382" s="91" t="s">
        <v>6788</v>
      </c>
      <c r="E382" s="91"/>
      <c r="G382" s="91" t="s">
        <v>6863</v>
      </c>
      <c r="H382" s="91" t="s">
        <v>6864</v>
      </c>
      <c r="J382" s="91"/>
      <c r="K382" s="136"/>
      <c r="L382" s="136"/>
      <c r="M382" s="91" t="s">
        <v>3005</v>
      </c>
      <c r="N382" s="138" t="s">
        <v>54</v>
      </c>
      <c r="O382" s="92"/>
    </row>
    <row r="383" spans="1:15" x14ac:dyDescent="0.25">
      <c r="A383" s="144" t="s">
        <v>60</v>
      </c>
      <c r="B383" s="141">
        <v>-99</v>
      </c>
      <c r="C383" s="91" t="s">
        <v>6787</v>
      </c>
      <c r="E383" s="91"/>
      <c r="G383" s="91" t="s">
        <v>6861</v>
      </c>
      <c r="H383" s="91" t="s">
        <v>6862</v>
      </c>
      <c r="J383" s="91"/>
      <c r="K383" s="136"/>
      <c r="L383" s="136"/>
      <c r="M383" s="91" t="s">
        <v>3004</v>
      </c>
      <c r="N383" s="138" t="s">
        <v>54</v>
      </c>
      <c r="O383" s="92"/>
    </row>
    <row r="384" spans="1:15" x14ac:dyDescent="0.25">
      <c r="A384" s="123" t="s">
        <v>60</v>
      </c>
      <c r="B384" s="124">
        <v>0</v>
      </c>
      <c r="C384" s="125" t="s">
        <v>93</v>
      </c>
      <c r="D384" s="127" t="s">
        <v>1927</v>
      </c>
      <c r="E384" s="126" t="s">
        <v>2139</v>
      </c>
      <c r="F384" s="125" t="s">
        <v>2187</v>
      </c>
      <c r="G384" s="125" t="s">
        <v>277</v>
      </c>
      <c r="H384" s="125" t="s">
        <v>278</v>
      </c>
      <c r="I384" s="125" t="s">
        <v>2320</v>
      </c>
      <c r="J384" s="127"/>
      <c r="K384" s="124">
        <v>1</v>
      </c>
      <c r="L384" s="124" t="s">
        <v>605</v>
      </c>
      <c r="M384" s="125" t="s">
        <v>91</v>
      </c>
      <c r="N384" s="123" t="s">
        <v>54</v>
      </c>
      <c r="O384" s="123"/>
    </row>
    <row r="385" spans="1:14" x14ac:dyDescent="0.25">
      <c r="A385" t="s">
        <v>60</v>
      </c>
      <c r="B385" s="85">
        <v>1</v>
      </c>
      <c r="C385" s="61" t="s">
        <v>122</v>
      </c>
      <c r="D385" s="64" t="s">
        <v>1926</v>
      </c>
      <c r="E385" s="77" t="s">
        <v>1659</v>
      </c>
      <c r="F385" s="61" t="s">
        <v>2155</v>
      </c>
      <c r="G385" s="61" t="s">
        <v>330</v>
      </c>
      <c r="H385" s="61" t="s">
        <v>331</v>
      </c>
      <c r="I385" s="75" t="s">
        <v>2340</v>
      </c>
      <c r="J385" s="63"/>
      <c r="K385" s="85">
        <v>1</v>
      </c>
      <c r="L385" s="84" t="s">
        <v>605</v>
      </c>
      <c r="M385" s="61" t="s">
        <v>100</v>
      </c>
      <c r="N385" t="s">
        <v>54</v>
      </c>
    </row>
    <row r="386" spans="1:14" x14ac:dyDescent="0.25">
      <c r="A386" t="s">
        <v>60</v>
      </c>
      <c r="B386" s="85">
        <v>2</v>
      </c>
      <c r="C386" s="104" t="s">
        <v>167</v>
      </c>
      <c r="D386" s="63" t="s">
        <v>6464</v>
      </c>
      <c r="E386" s="77" t="s">
        <v>1570</v>
      </c>
      <c r="F386" s="61" t="s">
        <v>2183</v>
      </c>
      <c r="G386" s="61" t="s">
        <v>401</v>
      </c>
      <c r="H386" s="61" t="s">
        <v>402</v>
      </c>
      <c r="I386" s="75" t="s">
        <v>2369</v>
      </c>
      <c r="J386" s="63"/>
      <c r="K386" s="85">
        <v>0</v>
      </c>
      <c r="L386" s="85" t="s">
        <v>605</v>
      </c>
      <c r="M386" s="61" t="s">
        <v>91</v>
      </c>
      <c r="N386" t="s">
        <v>54</v>
      </c>
    </row>
    <row r="387" spans="1:14" x14ac:dyDescent="0.25">
      <c r="A387" t="s">
        <v>60</v>
      </c>
      <c r="B387" s="85">
        <v>3</v>
      </c>
      <c r="C387" s="61" t="s">
        <v>166</v>
      </c>
      <c r="D387" s="63" t="s">
        <v>3322</v>
      </c>
      <c r="E387" s="77" t="s">
        <v>1569</v>
      </c>
      <c r="F387" s="61"/>
      <c r="G387" s="61" t="s">
        <v>399</v>
      </c>
      <c r="H387" s="61" t="s">
        <v>400</v>
      </c>
      <c r="I387" s="75" t="s">
        <v>2368</v>
      </c>
      <c r="J387" s="63"/>
      <c r="K387" s="85">
        <v>0</v>
      </c>
      <c r="L387" s="85">
        <v>2</v>
      </c>
      <c r="M387" s="61" t="s">
        <v>153</v>
      </c>
      <c r="N387" t="s">
        <v>54</v>
      </c>
    </row>
    <row r="388" spans="1:14" x14ac:dyDescent="0.25">
      <c r="A388" t="s">
        <v>60</v>
      </c>
      <c r="B388" s="85">
        <v>4</v>
      </c>
      <c r="C388" s="63" t="s">
        <v>2697</v>
      </c>
      <c r="D388" s="63" t="s">
        <v>3324</v>
      </c>
      <c r="E388" s="63"/>
      <c r="F388" s="28"/>
      <c r="G388" s="63" t="s">
        <v>3123</v>
      </c>
      <c r="H388" s="57" t="s">
        <v>2901</v>
      </c>
      <c r="I388" s="63"/>
      <c r="J388" s="63"/>
      <c r="K388" s="85">
        <v>0</v>
      </c>
      <c r="L388" s="85">
        <v>2</v>
      </c>
      <c r="M388" s="57" t="s">
        <v>153</v>
      </c>
      <c r="N388" t="s">
        <v>54</v>
      </c>
    </row>
    <row r="389" spans="1:14" x14ac:dyDescent="0.25">
      <c r="A389" t="s">
        <v>60</v>
      </c>
      <c r="B389" s="85">
        <v>5</v>
      </c>
      <c r="C389" s="63" t="s">
        <v>2699</v>
      </c>
      <c r="D389" s="63" t="s">
        <v>3323</v>
      </c>
      <c r="E389" s="63"/>
      <c r="F389" s="63"/>
      <c r="G389" s="63" t="s">
        <v>3125</v>
      </c>
      <c r="H389" s="57" t="s">
        <v>2903</v>
      </c>
      <c r="I389" s="63"/>
      <c r="J389" s="63"/>
      <c r="K389" s="85">
        <v>0</v>
      </c>
      <c r="L389" s="85">
        <v>0</v>
      </c>
      <c r="M389" s="57" t="s">
        <v>153</v>
      </c>
      <c r="N389" t="s">
        <v>54</v>
      </c>
    </row>
    <row r="390" spans="1:14" x14ac:dyDescent="0.25">
      <c r="A390" t="s">
        <v>60</v>
      </c>
      <c r="B390" s="85">
        <v>6</v>
      </c>
      <c r="C390" s="64" t="s">
        <v>2698</v>
      </c>
      <c r="D390" s="57" t="s">
        <v>3325</v>
      </c>
      <c r="E390" s="63"/>
      <c r="F390" s="63"/>
      <c r="G390" s="63" t="s">
        <v>3124</v>
      </c>
      <c r="H390" s="57" t="s">
        <v>2902</v>
      </c>
      <c r="I390" s="63"/>
      <c r="J390" s="63"/>
      <c r="K390" s="85">
        <v>0</v>
      </c>
      <c r="L390" s="85">
        <v>0</v>
      </c>
      <c r="M390" s="57" t="s">
        <v>91</v>
      </c>
      <c r="N390" t="s">
        <v>54</v>
      </c>
    </row>
    <row r="391" spans="1:14" x14ac:dyDescent="0.25">
      <c r="A391" t="s">
        <v>60</v>
      </c>
      <c r="B391" s="85">
        <v>7</v>
      </c>
      <c r="C391" s="61" t="s">
        <v>168</v>
      </c>
      <c r="D391" s="63" t="s">
        <v>3327</v>
      </c>
      <c r="E391" s="77" t="s">
        <v>1571</v>
      </c>
      <c r="F391" s="61" t="s">
        <v>2208</v>
      </c>
      <c r="G391" s="61" t="s">
        <v>403</v>
      </c>
      <c r="H391" s="61" t="s">
        <v>404</v>
      </c>
      <c r="I391" s="75" t="s">
        <v>2370</v>
      </c>
      <c r="J391" s="63"/>
      <c r="K391" s="85">
        <v>0</v>
      </c>
      <c r="L391" s="85">
        <v>2</v>
      </c>
      <c r="M391" s="61" t="s">
        <v>163</v>
      </c>
      <c r="N391" t="s">
        <v>54</v>
      </c>
    </row>
    <row r="392" spans="1:14" x14ac:dyDescent="0.25">
      <c r="A392" t="s">
        <v>60</v>
      </c>
      <c r="B392" s="85">
        <v>8</v>
      </c>
      <c r="C392" s="63" t="s">
        <v>2700</v>
      </c>
      <c r="D392" s="57" t="s">
        <v>3326</v>
      </c>
      <c r="E392" s="63"/>
      <c r="F392" s="63"/>
      <c r="G392" s="63" t="s">
        <v>3126</v>
      </c>
      <c r="H392" s="57" t="s">
        <v>2904</v>
      </c>
      <c r="I392" s="63"/>
      <c r="J392" s="63"/>
      <c r="K392" s="85">
        <v>0</v>
      </c>
      <c r="L392" s="85">
        <v>1</v>
      </c>
      <c r="M392" s="57" t="s">
        <v>163</v>
      </c>
      <c r="N392" t="s">
        <v>54</v>
      </c>
    </row>
    <row r="393" spans="1:14" x14ac:dyDescent="0.25">
      <c r="A393" t="s">
        <v>60</v>
      </c>
      <c r="B393" s="85">
        <v>9</v>
      </c>
      <c r="C393" s="61" t="s">
        <v>169</v>
      </c>
      <c r="D393" s="63" t="s">
        <v>3328</v>
      </c>
      <c r="E393" s="77" t="s">
        <v>1572</v>
      </c>
      <c r="F393" s="61" t="s">
        <v>2209</v>
      </c>
      <c r="G393" s="61" t="s">
        <v>405</v>
      </c>
      <c r="H393" s="61" t="s">
        <v>406</v>
      </c>
      <c r="I393" s="75" t="s">
        <v>2371</v>
      </c>
      <c r="J393" s="63" t="s">
        <v>3465</v>
      </c>
      <c r="K393" s="85">
        <v>0</v>
      </c>
      <c r="L393" s="85">
        <v>0</v>
      </c>
      <c r="M393" s="61" t="s">
        <v>92</v>
      </c>
      <c r="N393" t="s">
        <v>54</v>
      </c>
    </row>
    <row r="394" spans="1:14" x14ac:dyDescent="0.25">
      <c r="A394" t="s">
        <v>60</v>
      </c>
      <c r="B394" s="85">
        <v>10</v>
      </c>
      <c r="C394" s="61" t="s">
        <v>170</v>
      </c>
      <c r="D394" s="63" t="s">
        <v>3329</v>
      </c>
      <c r="E394" s="77" t="s">
        <v>1573</v>
      </c>
      <c r="F394" s="62" t="s">
        <v>2296</v>
      </c>
      <c r="G394" s="61" t="s">
        <v>407</v>
      </c>
      <c r="H394" s="61" t="s">
        <v>408</v>
      </c>
      <c r="I394" s="75" t="s">
        <v>2295</v>
      </c>
      <c r="J394" s="63" t="s">
        <v>3464</v>
      </c>
      <c r="K394" s="85">
        <v>0</v>
      </c>
      <c r="L394" s="85">
        <v>0</v>
      </c>
      <c r="M394" s="61" t="s">
        <v>92</v>
      </c>
      <c r="N394" t="s">
        <v>54</v>
      </c>
    </row>
    <row r="395" spans="1:14" x14ac:dyDescent="0.25">
      <c r="A395" t="s">
        <v>60</v>
      </c>
      <c r="B395" s="85">
        <v>11</v>
      </c>
      <c r="C395" s="63" t="s">
        <v>2702</v>
      </c>
      <c r="D395" s="57" t="s">
        <v>3330</v>
      </c>
      <c r="E395" s="63"/>
      <c r="F395" s="63"/>
      <c r="G395" s="63" t="s">
        <v>3128</v>
      </c>
      <c r="H395" s="57" t="s">
        <v>2906</v>
      </c>
      <c r="I395" s="63"/>
      <c r="J395" s="63"/>
      <c r="K395" s="85">
        <v>0</v>
      </c>
      <c r="L395" s="85">
        <v>0</v>
      </c>
      <c r="M395" s="57" t="s">
        <v>156</v>
      </c>
      <c r="N395" t="s">
        <v>54</v>
      </c>
    </row>
    <row r="396" spans="1:14" x14ac:dyDescent="0.25">
      <c r="A396" t="s">
        <v>60</v>
      </c>
      <c r="B396" s="85">
        <v>12</v>
      </c>
      <c r="C396" s="61" t="s">
        <v>171</v>
      </c>
      <c r="D396" s="63" t="s">
        <v>1896</v>
      </c>
      <c r="E396" s="77" t="s">
        <v>1574</v>
      </c>
      <c r="F396" s="61" t="s">
        <v>2210</v>
      </c>
      <c r="G396" s="61" t="s">
        <v>409</v>
      </c>
      <c r="H396" s="61" t="s">
        <v>410</v>
      </c>
      <c r="I396" s="75" t="s">
        <v>2372</v>
      </c>
      <c r="J396" s="63"/>
      <c r="K396" s="85">
        <v>0</v>
      </c>
      <c r="L396" s="85">
        <v>0</v>
      </c>
      <c r="M396" s="61" t="s">
        <v>156</v>
      </c>
      <c r="N396" t="s">
        <v>54</v>
      </c>
    </row>
    <row r="397" spans="1:14" x14ac:dyDescent="0.25">
      <c r="A397" t="s">
        <v>60</v>
      </c>
      <c r="B397" s="85">
        <v>13</v>
      </c>
      <c r="C397" s="61" t="s">
        <v>172</v>
      </c>
      <c r="D397" s="63" t="s">
        <v>1897</v>
      </c>
      <c r="E397" s="77" t="s">
        <v>1575</v>
      </c>
      <c r="F397" s="61" t="s">
        <v>2211</v>
      </c>
      <c r="G397" s="61" t="s">
        <v>411</v>
      </c>
      <c r="H397" s="61" t="s">
        <v>412</v>
      </c>
      <c r="I397" s="75" t="s">
        <v>2373</v>
      </c>
      <c r="J397" s="63"/>
      <c r="K397" s="85">
        <v>0</v>
      </c>
      <c r="L397" s="85">
        <v>0</v>
      </c>
      <c r="M397" s="61" t="s">
        <v>164</v>
      </c>
      <c r="N397" t="s">
        <v>54</v>
      </c>
    </row>
    <row r="398" spans="1:14" x14ac:dyDescent="0.25">
      <c r="A398" t="s">
        <v>60</v>
      </c>
      <c r="B398" s="85">
        <v>14</v>
      </c>
      <c r="C398" s="63" t="s">
        <v>2703</v>
      </c>
      <c r="D398" s="57" t="s">
        <v>3331</v>
      </c>
      <c r="E398" s="63"/>
      <c r="F398" s="63"/>
      <c r="G398" s="63" t="s">
        <v>3129</v>
      </c>
      <c r="H398" s="57" t="s">
        <v>2907</v>
      </c>
      <c r="I398" s="63"/>
      <c r="J398" s="63"/>
      <c r="K398" s="85">
        <v>0</v>
      </c>
      <c r="L398" s="85">
        <v>0</v>
      </c>
      <c r="M398" s="57" t="s">
        <v>100</v>
      </c>
      <c r="N398" t="s">
        <v>54</v>
      </c>
    </row>
    <row r="399" spans="1:14" x14ac:dyDescent="0.25">
      <c r="A399" t="s">
        <v>60</v>
      </c>
      <c r="B399" s="85">
        <v>15</v>
      </c>
      <c r="C399" s="61" t="s">
        <v>173</v>
      </c>
      <c r="D399" s="63" t="s">
        <v>1898</v>
      </c>
      <c r="E399" s="77" t="s">
        <v>1576</v>
      </c>
      <c r="F399" s="62" t="s">
        <v>2212</v>
      </c>
      <c r="G399" s="61" t="s">
        <v>413</v>
      </c>
      <c r="H399" s="61" t="s">
        <v>414</v>
      </c>
      <c r="I399" s="75" t="s">
        <v>2374</v>
      </c>
      <c r="J399" s="63"/>
      <c r="K399" s="85">
        <v>0</v>
      </c>
      <c r="L399" s="85">
        <v>0</v>
      </c>
      <c r="M399" s="61" t="s">
        <v>165</v>
      </c>
      <c r="N399" t="s">
        <v>54</v>
      </c>
    </row>
    <row r="400" spans="1:14" x14ac:dyDescent="0.25">
      <c r="A400" t="s">
        <v>60</v>
      </c>
      <c r="B400" s="85">
        <v>16</v>
      </c>
      <c r="C400" s="63" t="s">
        <v>2704</v>
      </c>
      <c r="D400" s="57" t="s">
        <v>3332</v>
      </c>
      <c r="E400" s="63"/>
      <c r="F400" s="63"/>
      <c r="G400" s="63" t="s">
        <v>3130</v>
      </c>
      <c r="H400" s="57" t="s">
        <v>2908</v>
      </c>
      <c r="I400" s="63"/>
      <c r="J400" s="63"/>
      <c r="K400" s="85">
        <v>0</v>
      </c>
      <c r="L400" s="85">
        <v>0</v>
      </c>
      <c r="M400" s="57" t="s">
        <v>262</v>
      </c>
      <c r="N400" t="s">
        <v>54</v>
      </c>
    </row>
    <row r="401" spans="1:15" x14ac:dyDescent="0.25">
      <c r="A401" t="s">
        <v>60</v>
      </c>
      <c r="B401" s="85">
        <v>17</v>
      </c>
      <c r="C401" s="63" t="s">
        <v>2701</v>
      </c>
      <c r="D401" s="69" t="s">
        <v>3341</v>
      </c>
      <c r="E401" s="63"/>
      <c r="F401" s="63"/>
      <c r="G401" s="63" t="s">
        <v>3127</v>
      </c>
      <c r="H401" s="57" t="s">
        <v>2905</v>
      </c>
      <c r="I401" s="63"/>
      <c r="J401" s="64"/>
      <c r="K401" s="85">
        <v>0</v>
      </c>
      <c r="L401" s="85">
        <v>0</v>
      </c>
      <c r="M401" s="57" t="s">
        <v>92</v>
      </c>
      <c r="N401" t="s">
        <v>54</v>
      </c>
    </row>
    <row r="402" spans="1:15" x14ac:dyDescent="0.25">
      <c r="A402" t="s">
        <v>60</v>
      </c>
      <c r="B402" s="85">
        <v>18</v>
      </c>
      <c r="C402" s="63" t="s">
        <v>2706</v>
      </c>
      <c r="D402" s="57" t="s">
        <v>3336</v>
      </c>
      <c r="E402" s="63"/>
      <c r="F402" s="63"/>
      <c r="G402" s="63" t="s">
        <v>3132</v>
      </c>
      <c r="H402" s="57" t="s">
        <v>2910</v>
      </c>
      <c r="I402" s="63"/>
      <c r="J402" s="63"/>
      <c r="K402" s="85">
        <v>0</v>
      </c>
      <c r="L402" s="85">
        <v>0</v>
      </c>
      <c r="M402" s="57" t="s">
        <v>3005</v>
      </c>
      <c r="N402" t="s">
        <v>54</v>
      </c>
    </row>
    <row r="403" spans="1:15" x14ac:dyDescent="0.25">
      <c r="A403" t="s">
        <v>60</v>
      </c>
      <c r="B403" s="87">
        <v>19</v>
      </c>
      <c r="C403" s="63" t="s">
        <v>2705</v>
      </c>
      <c r="D403" s="57" t="s">
        <v>3333</v>
      </c>
      <c r="E403" s="63"/>
      <c r="F403" s="63"/>
      <c r="G403" s="63" t="s">
        <v>3131</v>
      </c>
      <c r="H403" s="57" t="s">
        <v>2909</v>
      </c>
      <c r="I403" s="63"/>
      <c r="J403" s="63"/>
      <c r="K403" s="87">
        <v>0</v>
      </c>
      <c r="L403" s="85">
        <v>0</v>
      </c>
      <c r="M403" s="57" t="s">
        <v>3005</v>
      </c>
      <c r="N403" t="s">
        <v>54</v>
      </c>
    </row>
    <row r="404" spans="1:15" x14ac:dyDescent="0.25">
      <c r="A404" t="s">
        <v>60</v>
      </c>
      <c r="B404" s="85">
        <v>20</v>
      </c>
      <c r="C404" s="63" t="s">
        <v>2707</v>
      </c>
      <c r="D404" s="57" t="s">
        <v>3335</v>
      </c>
      <c r="E404" s="63"/>
      <c r="F404" s="63"/>
      <c r="G404" s="63" t="s">
        <v>3133</v>
      </c>
      <c r="H404" s="57" t="s">
        <v>2911</v>
      </c>
      <c r="I404" s="63"/>
      <c r="J404" s="63"/>
      <c r="K404" s="85">
        <v>0</v>
      </c>
      <c r="L404" s="85">
        <v>0</v>
      </c>
      <c r="M404" s="57" t="s">
        <v>235</v>
      </c>
      <c r="N404" t="s">
        <v>54</v>
      </c>
    </row>
    <row r="405" spans="1:15" x14ac:dyDescent="0.25">
      <c r="A405" t="s">
        <v>60</v>
      </c>
      <c r="B405" s="85">
        <v>21</v>
      </c>
      <c r="C405" s="63" t="s">
        <v>2708</v>
      </c>
      <c r="D405" s="57" t="s">
        <v>3334</v>
      </c>
      <c r="E405" s="63"/>
      <c r="F405" s="63"/>
      <c r="G405" s="63" t="s">
        <v>3134</v>
      </c>
      <c r="H405" s="57" t="s">
        <v>2912</v>
      </c>
      <c r="I405" s="63"/>
      <c r="J405" s="63"/>
      <c r="K405" s="85">
        <v>0</v>
      </c>
      <c r="L405" s="85">
        <v>0</v>
      </c>
      <c r="M405" s="57" t="s">
        <v>156</v>
      </c>
      <c r="N405" t="s">
        <v>54</v>
      </c>
    </row>
    <row r="406" spans="1:15" x14ac:dyDescent="0.25">
      <c r="A406" t="s">
        <v>60</v>
      </c>
      <c r="B406" s="85">
        <v>22</v>
      </c>
      <c r="C406" s="63" t="s">
        <v>2709</v>
      </c>
      <c r="D406" s="57" t="s">
        <v>3337</v>
      </c>
      <c r="E406" s="63"/>
      <c r="F406" s="63"/>
      <c r="G406" s="63" t="s">
        <v>3135</v>
      </c>
      <c r="H406" s="57" t="s">
        <v>2913</v>
      </c>
      <c r="I406" s="63"/>
      <c r="J406" s="63"/>
      <c r="K406" s="85">
        <v>0</v>
      </c>
      <c r="L406" s="85">
        <v>0</v>
      </c>
      <c r="M406" s="57" t="s">
        <v>163</v>
      </c>
      <c r="N406" t="s">
        <v>54</v>
      </c>
    </row>
    <row r="407" spans="1:15" x14ac:dyDescent="0.25">
      <c r="A407" t="s">
        <v>60</v>
      </c>
      <c r="B407" s="85">
        <v>23</v>
      </c>
      <c r="C407" s="63" t="s">
        <v>2710</v>
      </c>
      <c r="D407" s="57" t="s">
        <v>3338</v>
      </c>
      <c r="E407" s="63"/>
      <c r="F407" s="63"/>
      <c r="G407" s="63" t="s">
        <v>3136</v>
      </c>
      <c r="H407" s="57" t="s">
        <v>2914</v>
      </c>
      <c r="I407" s="63"/>
      <c r="J407" s="63"/>
      <c r="K407" s="85">
        <v>0</v>
      </c>
      <c r="L407" s="85">
        <v>0</v>
      </c>
      <c r="M407" s="57" t="s">
        <v>195</v>
      </c>
      <c r="N407" t="s">
        <v>54</v>
      </c>
    </row>
    <row r="408" spans="1:15" x14ac:dyDescent="0.25">
      <c r="A408" t="s">
        <v>60</v>
      </c>
      <c r="B408" s="85">
        <v>24</v>
      </c>
      <c r="C408" s="63" t="s">
        <v>2713</v>
      </c>
      <c r="D408" s="57" t="s">
        <v>3339</v>
      </c>
      <c r="E408" s="63"/>
      <c r="F408" s="63"/>
      <c r="G408" s="63" t="s">
        <v>3139</v>
      </c>
      <c r="H408" s="57" t="s">
        <v>2917</v>
      </c>
      <c r="I408" s="63"/>
      <c r="J408" s="63"/>
      <c r="K408" s="85">
        <v>0</v>
      </c>
      <c r="L408" s="85">
        <v>0</v>
      </c>
      <c r="M408" s="57" t="s">
        <v>100</v>
      </c>
      <c r="N408" t="s">
        <v>54</v>
      </c>
    </row>
    <row r="409" spans="1:15" x14ac:dyDescent="0.25">
      <c r="A409" t="s">
        <v>60</v>
      </c>
      <c r="B409" s="85">
        <v>25</v>
      </c>
      <c r="C409" s="63" t="s">
        <v>2711</v>
      </c>
      <c r="D409" s="57" t="s">
        <v>3340</v>
      </c>
      <c r="E409" s="63"/>
      <c r="F409" s="63"/>
      <c r="G409" s="63" t="s">
        <v>3137</v>
      </c>
      <c r="H409" s="57" t="s">
        <v>2915</v>
      </c>
      <c r="I409" s="63"/>
      <c r="J409" s="63"/>
      <c r="K409" s="85">
        <v>0</v>
      </c>
      <c r="L409" s="85">
        <v>0</v>
      </c>
      <c r="M409" s="57" t="s">
        <v>91</v>
      </c>
      <c r="N409" t="s">
        <v>54</v>
      </c>
    </row>
    <row r="410" spans="1:15" x14ac:dyDescent="0.25">
      <c r="A410" t="s">
        <v>60</v>
      </c>
      <c r="B410" s="85">
        <v>26</v>
      </c>
      <c r="C410" s="63" t="s">
        <v>2712</v>
      </c>
      <c r="D410" s="57" t="s">
        <v>1899</v>
      </c>
      <c r="E410" s="63"/>
      <c r="F410" s="61" t="s">
        <v>2181</v>
      </c>
      <c r="G410" s="63" t="s">
        <v>3138</v>
      </c>
      <c r="H410" s="57" t="s">
        <v>2916</v>
      </c>
      <c r="I410" s="63"/>
      <c r="J410" s="63"/>
      <c r="K410" s="85">
        <v>0</v>
      </c>
      <c r="L410" s="85">
        <v>0</v>
      </c>
      <c r="M410" s="57" t="s">
        <v>91</v>
      </c>
      <c r="N410" t="s">
        <v>54</v>
      </c>
    </row>
    <row r="411" spans="1:15" x14ac:dyDescent="0.25">
      <c r="A411" s="37" t="s">
        <v>2047</v>
      </c>
      <c r="B411" s="84">
        <v>-99</v>
      </c>
      <c r="C411" s="61" t="s">
        <v>1996</v>
      </c>
      <c r="D411" s="62" t="s">
        <v>6678</v>
      </c>
      <c r="E411" s="77"/>
      <c r="F411" s="62" t="s">
        <v>3234</v>
      </c>
      <c r="G411" s="61" t="s">
        <v>2307</v>
      </c>
      <c r="H411" s="61" t="s">
        <v>2308</v>
      </c>
      <c r="I411" s="61" t="s">
        <v>2319</v>
      </c>
      <c r="J411" s="63"/>
      <c r="K411" s="84">
        <v>0</v>
      </c>
      <c r="L411" s="85">
        <v>0</v>
      </c>
      <c r="M411" s="23" t="s">
        <v>164</v>
      </c>
      <c r="N411" t="s">
        <v>45</v>
      </c>
      <c r="O411" t="s">
        <v>6744</v>
      </c>
    </row>
    <row r="412" spans="1:15" x14ac:dyDescent="0.25">
      <c r="A412" s="37" t="s">
        <v>2047</v>
      </c>
      <c r="B412" s="86">
        <v>0</v>
      </c>
      <c r="C412" s="62" t="s">
        <v>93</v>
      </c>
      <c r="D412" s="62" t="s">
        <v>1927</v>
      </c>
      <c r="E412" s="69" t="s">
        <v>2139</v>
      </c>
      <c r="F412" s="62" t="s">
        <v>2187</v>
      </c>
      <c r="G412" s="62" t="s">
        <v>6937</v>
      </c>
      <c r="H412" s="62" t="s">
        <v>292</v>
      </c>
      <c r="I412" s="62" t="s">
        <v>2320</v>
      </c>
      <c r="J412" s="64"/>
      <c r="K412" s="86">
        <v>1</v>
      </c>
      <c r="L412" s="86" t="s">
        <v>605</v>
      </c>
      <c r="M412" s="62" t="s">
        <v>100</v>
      </c>
      <c r="N412" s="37" t="s">
        <v>45</v>
      </c>
      <c r="O412" s="37"/>
    </row>
    <row r="413" spans="1:15" x14ac:dyDescent="0.25">
      <c r="A413" t="s">
        <v>2047</v>
      </c>
      <c r="B413" s="84">
        <v>1</v>
      </c>
      <c r="C413" s="62" t="s">
        <v>6443</v>
      </c>
      <c r="D413" s="61" t="s">
        <v>2002</v>
      </c>
      <c r="E413" s="77"/>
      <c r="F413" s="61" t="s">
        <v>2147</v>
      </c>
      <c r="G413" s="61" t="s">
        <v>2301</v>
      </c>
      <c r="H413" s="61" t="s">
        <v>2298</v>
      </c>
      <c r="I413" s="61" t="s">
        <v>2323</v>
      </c>
      <c r="J413" s="63"/>
      <c r="K413" s="84">
        <v>0</v>
      </c>
      <c r="L413" s="85" t="s">
        <v>605</v>
      </c>
      <c r="M413" s="23" t="s">
        <v>91</v>
      </c>
      <c r="N413" t="s">
        <v>45</v>
      </c>
    </row>
    <row r="414" spans="1:15" x14ac:dyDescent="0.25">
      <c r="A414" t="s">
        <v>2047</v>
      </c>
      <c r="B414" s="84">
        <v>2</v>
      </c>
      <c r="C414" s="61" t="s">
        <v>1995</v>
      </c>
      <c r="D414" s="61" t="s">
        <v>6677</v>
      </c>
      <c r="E414" s="77"/>
      <c r="F414" s="61" t="s">
        <v>2148</v>
      </c>
      <c r="G414" s="61" t="s">
        <v>2303</v>
      </c>
      <c r="H414" s="61" t="s">
        <v>2304</v>
      </c>
      <c r="I414" s="61" t="s">
        <v>2325</v>
      </c>
      <c r="J414" s="63"/>
      <c r="K414" s="84">
        <v>0</v>
      </c>
      <c r="L414" s="85">
        <v>0</v>
      </c>
      <c r="M414" s="23" t="s">
        <v>139</v>
      </c>
      <c r="N414" t="s">
        <v>45</v>
      </c>
    </row>
    <row r="415" spans="1:15" x14ac:dyDescent="0.25">
      <c r="A415" t="s">
        <v>2047</v>
      </c>
      <c r="B415" s="13">
        <v>3</v>
      </c>
      <c r="C415" t="s">
        <v>3848</v>
      </c>
      <c r="D415" s="57" t="s">
        <v>6670</v>
      </c>
      <c r="G415" t="s">
        <v>3950</v>
      </c>
      <c r="H415" t="s">
        <v>3951</v>
      </c>
      <c r="L415" s="13">
        <v>0</v>
      </c>
      <c r="M415" t="s">
        <v>139</v>
      </c>
      <c r="N415" t="s">
        <v>45</v>
      </c>
    </row>
    <row r="416" spans="1:15" x14ac:dyDescent="0.25">
      <c r="A416" t="s">
        <v>2047</v>
      </c>
      <c r="B416" s="84">
        <v>4</v>
      </c>
      <c r="C416" s="61" t="s">
        <v>1993</v>
      </c>
      <c r="D416" s="61" t="s">
        <v>6674</v>
      </c>
      <c r="E416" s="77"/>
      <c r="F416" s="61" t="s">
        <v>2149</v>
      </c>
      <c r="G416" s="61" t="s">
        <v>2302</v>
      </c>
      <c r="H416" s="61" t="s">
        <v>2299</v>
      </c>
      <c r="I416" s="61" t="s">
        <v>2324</v>
      </c>
      <c r="J416" s="63"/>
      <c r="K416" s="84">
        <v>0</v>
      </c>
      <c r="L416" s="85">
        <v>0</v>
      </c>
      <c r="M416" s="23" t="s">
        <v>2300</v>
      </c>
      <c r="N416" t="s">
        <v>45</v>
      </c>
    </row>
    <row r="417" spans="1:15" x14ac:dyDescent="0.25">
      <c r="A417" t="s">
        <v>2047</v>
      </c>
      <c r="B417" s="84">
        <v>5</v>
      </c>
      <c r="C417" s="61" t="s">
        <v>1994</v>
      </c>
      <c r="D417" s="61" t="s">
        <v>2004</v>
      </c>
      <c r="E417" s="77"/>
      <c r="F417" s="61" t="s">
        <v>2150</v>
      </c>
      <c r="G417" s="61" t="s">
        <v>2305</v>
      </c>
      <c r="H417" s="61" t="s">
        <v>2306</v>
      </c>
      <c r="I417" s="61" t="s">
        <v>2478</v>
      </c>
      <c r="J417" s="63"/>
      <c r="K417" s="84">
        <v>0</v>
      </c>
      <c r="L417" s="85">
        <v>0</v>
      </c>
      <c r="M417" s="23" t="s">
        <v>100</v>
      </c>
      <c r="N417" t="s">
        <v>45</v>
      </c>
    </row>
    <row r="418" spans="1:15" x14ac:dyDescent="0.25">
      <c r="A418" t="s">
        <v>2047</v>
      </c>
      <c r="B418" s="84">
        <v>6</v>
      </c>
      <c r="C418" s="61" t="s">
        <v>1997</v>
      </c>
      <c r="D418" s="61" t="s">
        <v>2006</v>
      </c>
      <c r="E418" s="77"/>
      <c r="F418" s="61" t="s">
        <v>2151</v>
      </c>
      <c r="G418" s="61" t="s">
        <v>2309</v>
      </c>
      <c r="H418" s="61" t="s">
        <v>2310</v>
      </c>
      <c r="I418" s="61" t="s">
        <v>2326</v>
      </c>
      <c r="J418" s="63"/>
      <c r="K418" s="84">
        <v>0</v>
      </c>
      <c r="L418" s="85">
        <v>0</v>
      </c>
      <c r="M418" s="23" t="s">
        <v>156</v>
      </c>
      <c r="N418" t="s">
        <v>45</v>
      </c>
    </row>
    <row r="419" spans="1:15" x14ac:dyDescent="0.25">
      <c r="A419" t="s">
        <v>2047</v>
      </c>
      <c r="B419" s="13">
        <v>7</v>
      </c>
      <c r="C419" t="s">
        <v>3849</v>
      </c>
      <c r="D419" s="57" t="s">
        <v>6671</v>
      </c>
      <c r="G419" t="s">
        <v>3952</v>
      </c>
      <c r="H419" t="s">
        <v>3953</v>
      </c>
      <c r="L419" s="13">
        <v>0</v>
      </c>
      <c r="M419" t="s">
        <v>164</v>
      </c>
      <c r="N419" t="s">
        <v>45</v>
      </c>
    </row>
    <row r="420" spans="1:15" x14ac:dyDescent="0.25">
      <c r="A420" t="s">
        <v>2047</v>
      </c>
      <c r="B420" s="13">
        <v>8</v>
      </c>
      <c r="C420" t="s">
        <v>3850</v>
      </c>
      <c r="D420" s="57" t="s">
        <v>6672</v>
      </c>
      <c r="G420" t="s">
        <v>3954</v>
      </c>
      <c r="H420" t="s">
        <v>3955</v>
      </c>
      <c r="L420" s="13">
        <v>0</v>
      </c>
      <c r="M420" t="s">
        <v>164</v>
      </c>
      <c r="N420" t="s">
        <v>45</v>
      </c>
    </row>
    <row r="421" spans="1:15" x14ac:dyDescent="0.25">
      <c r="A421" t="s">
        <v>2047</v>
      </c>
      <c r="B421" s="13">
        <v>9</v>
      </c>
      <c r="C421" t="s">
        <v>2513</v>
      </c>
      <c r="D421" s="61" t="s">
        <v>2005</v>
      </c>
      <c r="F421" s="62" t="s">
        <v>3234</v>
      </c>
      <c r="G421" t="s">
        <v>2307</v>
      </c>
      <c r="H421" t="s">
        <v>2308</v>
      </c>
      <c r="L421" s="13">
        <v>0</v>
      </c>
      <c r="M421" t="s">
        <v>164</v>
      </c>
      <c r="N421" t="s">
        <v>45</v>
      </c>
    </row>
    <row r="422" spans="1:15" x14ac:dyDescent="0.25">
      <c r="A422" t="s">
        <v>2047</v>
      </c>
      <c r="B422" s="84">
        <v>10</v>
      </c>
      <c r="C422" s="61" t="s">
        <v>2000</v>
      </c>
      <c r="D422" s="61" t="s">
        <v>6676</v>
      </c>
      <c r="E422" s="77"/>
      <c r="F422" s="61" t="s">
        <v>2153</v>
      </c>
      <c r="G422" s="61" t="s">
        <v>2315</v>
      </c>
      <c r="H422" s="61" t="s">
        <v>2316</v>
      </c>
      <c r="I422" s="61" t="s">
        <v>2329</v>
      </c>
      <c r="J422" s="63"/>
      <c r="K422" s="84">
        <v>0</v>
      </c>
      <c r="L422" s="85">
        <v>0</v>
      </c>
      <c r="M422" s="23" t="s">
        <v>139</v>
      </c>
      <c r="N422" t="s">
        <v>45</v>
      </c>
    </row>
    <row r="423" spans="1:15" x14ac:dyDescent="0.25">
      <c r="A423" t="s">
        <v>2047</v>
      </c>
      <c r="B423" s="13">
        <v>11</v>
      </c>
      <c r="C423" t="s">
        <v>3851</v>
      </c>
      <c r="D423" s="57" t="s">
        <v>6673</v>
      </c>
      <c r="G423" t="s">
        <v>2317</v>
      </c>
      <c r="H423" t="s">
        <v>2318</v>
      </c>
      <c r="L423" s="13">
        <v>0</v>
      </c>
      <c r="M423" t="s">
        <v>139</v>
      </c>
      <c r="N423" t="s">
        <v>45</v>
      </c>
    </row>
    <row r="424" spans="1:15" x14ac:dyDescent="0.25">
      <c r="A424" t="s">
        <v>2047</v>
      </c>
      <c r="B424" s="84">
        <v>12</v>
      </c>
      <c r="C424" s="61" t="s">
        <v>1998</v>
      </c>
      <c r="D424" s="61" t="s">
        <v>6675</v>
      </c>
      <c r="E424" s="77"/>
      <c r="F424" s="61" t="s">
        <v>2152</v>
      </c>
      <c r="G424" s="61" t="s">
        <v>2311</v>
      </c>
      <c r="H424" s="61" t="s">
        <v>2312</v>
      </c>
      <c r="I424" s="61" t="s">
        <v>2327</v>
      </c>
      <c r="J424" s="63"/>
      <c r="K424" s="84">
        <v>0</v>
      </c>
      <c r="L424" s="85">
        <v>0</v>
      </c>
      <c r="M424" s="23" t="s">
        <v>2300</v>
      </c>
      <c r="N424" t="s">
        <v>45</v>
      </c>
    </row>
    <row r="425" spans="1:15" x14ac:dyDescent="0.25">
      <c r="A425" t="s">
        <v>2047</v>
      </c>
      <c r="B425" s="84">
        <v>13</v>
      </c>
      <c r="C425" s="61" t="s">
        <v>1999</v>
      </c>
      <c r="D425" s="61" t="s">
        <v>2008</v>
      </c>
      <c r="E425" s="77"/>
      <c r="F425" s="61" t="s">
        <v>2487</v>
      </c>
      <c r="G425" s="61" t="s">
        <v>2313</v>
      </c>
      <c r="H425" s="61" t="s">
        <v>2314</v>
      </c>
      <c r="I425" s="61" t="s">
        <v>2328</v>
      </c>
      <c r="J425" s="63"/>
      <c r="K425" s="84">
        <v>0</v>
      </c>
      <c r="L425" s="85">
        <v>0</v>
      </c>
      <c r="M425" s="23" t="s">
        <v>100</v>
      </c>
      <c r="N425" t="s">
        <v>45</v>
      </c>
    </row>
    <row r="426" spans="1:15" x14ac:dyDescent="0.25">
      <c r="A426" t="s">
        <v>2047</v>
      </c>
      <c r="B426" s="84">
        <v>14</v>
      </c>
      <c r="C426" s="61" t="s">
        <v>2001</v>
      </c>
      <c r="D426" s="61" t="s">
        <v>462</v>
      </c>
      <c r="E426" s="77" t="s">
        <v>1592</v>
      </c>
      <c r="F426" s="61" t="s">
        <v>2224</v>
      </c>
      <c r="G426" s="61" t="s">
        <v>2317</v>
      </c>
      <c r="H426" s="61" t="s">
        <v>462</v>
      </c>
      <c r="I426" s="61"/>
      <c r="J426" s="63" t="s">
        <v>3439</v>
      </c>
      <c r="K426" s="84">
        <v>0</v>
      </c>
      <c r="L426" s="85">
        <v>0</v>
      </c>
      <c r="M426" s="57" t="s">
        <v>92</v>
      </c>
      <c r="N426" t="s">
        <v>45</v>
      </c>
    </row>
    <row r="427" spans="1:15" x14ac:dyDescent="0.25">
      <c r="A427" t="s">
        <v>2047</v>
      </c>
      <c r="B427" s="13">
        <v>26</v>
      </c>
      <c r="C427" t="s">
        <v>3852</v>
      </c>
      <c r="D427" s="57" t="s">
        <v>6743</v>
      </c>
      <c r="G427" t="s">
        <v>3956</v>
      </c>
      <c r="H427" t="s">
        <v>3957</v>
      </c>
      <c r="L427" s="13">
        <v>0</v>
      </c>
      <c r="M427" t="s">
        <v>91</v>
      </c>
      <c r="N427" t="s">
        <v>45</v>
      </c>
    </row>
    <row r="428" spans="1:15" x14ac:dyDescent="0.25">
      <c r="A428" s="144" t="s">
        <v>6922</v>
      </c>
      <c r="B428" s="141">
        <v>-99</v>
      </c>
      <c r="C428" s="91" t="s">
        <v>292</v>
      </c>
      <c r="E428" s="91"/>
      <c r="G428" s="91" t="s">
        <v>292</v>
      </c>
      <c r="H428" s="91" t="s">
        <v>292</v>
      </c>
      <c r="J428" s="91"/>
      <c r="K428" s="136"/>
      <c r="L428" s="136"/>
      <c r="M428" s="92"/>
      <c r="N428" s="138" t="s">
        <v>54</v>
      </c>
      <c r="O428" s="92"/>
    </row>
    <row r="429" spans="1:15" x14ac:dyDescent="0.25">
      <c r="A429" s="144" t="s">
        <v>6922</v>
      </c>
      <c r="B429" s="141">
        <v>-99</v>
      </c>
      <c r="C429" s="91" t="s">
        <v>6814</v>
      </c>
      <c r="E429" s="91"/>
      <c r="G429" s="91" t="s">
        <v>6920</v>
      </c>
      <c r="H429" s="91" t="s">
        <v>6921</v>
      </c>
      <c r="J429" s="91"/>
      <c r="K429" s="136"/>
      <c r="L429" s="136"/>
      <c r="M429" s="91" t="s">
        <v>153</v>
      </c>
      <c r="N429" s="138" t="s">
        <v>54</v>
      </c>
      <c r="O429" s="92"/>
    </row>
    <row r="430" spans="1:15" x14ac:dyDescent="0.25">
      <c r="A430" s="144" t="s">
        <v>6922</v>
      </c>
      <c r="B430" s="141">
        <v>-99</v>
      </c>
      <c r="C430" s="91" t="s">
        <v>6819</v>
      </c>
      <c r="E430" s="91"/>
      <c r="G430" s="91" t="s">
        <v>6929</v>
      </c>
      <c r="H430" s="91" t="s">
        <v>6930</v>
      </c>
      <c r="J430" s="91"/>
      <c r="K430" s="136"/>
      <c r="L430" s="136"/>
      <c r="M430" s="91" t="s">
        <v>3009</v>
      </c>
      <c r="N430" s="138" t="s">
        <v>54</v>
      </c>
      <c r="O430" s="92"/>
    </row>
    <row r="431" spans="1:15" x14ac:dyDescent="0.25">
      <c r="A431" s="144" t="s">
        <v>6922</v>
      </c>
      <c r="B431" s="141">
        <v>-99</v>
      </c>
      <c r="C431" s="91" t="s">
        <v>6818</v>
      </c>
      <c r="E431" s="91"/>
      <c r="G431" s="91" t="s">
        <v>6927</v>
      </c>
      <c r="H431" s="91" t="s">
        <v>6928</v>
      </c>
      <c r="J431" s="91"/>
      <c r="K431" s="136"/>
      <c r="L431" s="136"/>
      <c r="M431" s="91" t="s">
        <v>3004</v>
      </c>
      <c r="N431" s="138" t="s">
        <v>54</v>
      </c>
      <c r="O431" s="92"/>
    </row>
    <row r="432" spans="1:15" x14ac:dyDescent="0.25">
      <c r="A432" s="144" t="s">
        <v>6922</v>
      </c>
      <c r="B432" s="141">
        <v>-98</v>
      </c>
      <c r="C432" s="91" t="s">
        <v>6815</v>
      </c>
      <c r="E432" s="91"/>
      <c r="G432" s="91" t="s">
        <v>6923</v>
      </c>
      <c r="H432" s="91" t="s">
        <v>6924</v>
      </c>
      <c r="J432" s="91"/>
      <c r="K432" s="136"/>
      <c r="L432" s="136"/>
      <c r="M432" s="91" t="s">
        <v>153</v>
      </c>
      <c r="N432" s="138" t="s">
        <v>54</v>
      </c>
      <c r="O432" s="92"/>
    </row>
    <row r="433" spans="1:15" x14ac:dyDescent="0.25">
      <c r="A433" s="144" t="s">
        <v>6922</v>
      </c>
      <c r="B433" s="141">
        <v>1</v>
      </c>
      <c r="C433" s="91" t="s">
        <v>6816</v>
      </c>
      <c r="E433" s="91"/>
      <c r="G433" s="91" t="s">
        <v>348</v>
      </c>
      <c r="H433" s="91" t="s">
        <v>348</v>
      </c>
      <c r="J433" s="91"/>
      <c r="K433" s="136"/>
      <c r="L433" s="136"/>
      <c r="M433" s="92"/>
      <c r="N433" s="138" t="s">
        <v>54</v>
      </c>
      <c r="O433" s="92"/>
    </row>
    <row r="434" spans="1:15" x14ac:dyDescent="0.25">
      <c r="A434" s="145" t="s">
        <v>6922</v>
      </c>
      <c r="B434" s="141">
        <v>2</v>
      </c>
      <c r="C434" s="91" t="s">
        <v>6817</v>
      </c>
      <c r="E434" s="91"/>
      <c r="G434" s="91" t="s">
        <v>6925</v>
      </c>
      <c r="H434" s="91" t="s">
        <v>6926</v>
      </c>
      <c r="J434" s="91"/>
      <c r="K434" s="136"/>
      <c r="L434" s="136"/>
      <c r="M434" s="91" t="s">
        <v>91</v>
      </c>
      <c r="N434" s="138" t="s">
        <v>54</v>
      </c>
      <c r="O434" s="92"/>
    </row>
    <row r="435" spans="1:15" x14ac:dyDescent="0.25">
      <c r="A435" s="151" t="s">
        <v>84</v>
      </c>
      <c r="B435" s="152">
        <v>-99</v>
      </c>
      <c r="C435" s="153" t="s">
        <v>4148</v>
      </c>
      <c r="D435" s="153"/>
      <c r="E435" s="153"/>
      <c r="F435" s="153"/>
      <c r="G435" s="57" t="s">
        <v>5090</v>
      </c>
      <c r="H435" s="57" t="s">
        <v>5091</v>
      </c>
      <c r="I435" s="153"/>
      <c r="J435" s="153"/>
      <c r="K435" s="153"/>
      <c r="L435" s="154">
        <v>0</v>
      </c>
      <c r="M435" s="153" t="s">
        <v>6351</v>
      </c>
      <c r="N435" s="153" t="s">
        <v>80</v>
      </c>
      <c r="O435" s="153"/>
    </row>
    <row r="436" spans="1:15" x14ac:dyDescent="0.25">
      <c r="A436" s="151" t="s">
        <v>84</v>
      </c>
      <c r="B436" s="152">
        <v>-99</v>
      </c>
      <c r="C436" s="153" t="s">
        <v>4147</v>
      </c>
      <c r="D436" s="153"/>
      <c r="E436" s="153"/>
      <c r="F436" s="153"/>
      <c r="G436" s="57" t="s">
        <v>5088</v>
      </c>
      <c r="H436" s="57" t="s">
        <v>5089</v>
      </c>
      <c r="I436" s="153"/>
      <c r="J436" s="153"/>
      <c r="K436" s="153"/>
      <c r="L436" s="154">
        <v>0</v>
      </c>
      <c r="M436" s="153" t="s">
        <v>3009</v>
      </c>
      <c r="N436" s="153" t="s">
        <v>80</v>
      </c>
      <c r="O436" s="153"/>
    </row>
    <row r="437" spans="1:15" x14ac:dyDescent="0.25">
      <c r="A437" s="155" t="s">
        <v>84</v>
      </c>
      <c r="B437" s="124">
        <v>0</v>
      </c>
      <c r="C437" s="125" t="s">
        <v>93</v>
      </c>
      <c r="D437" s="125" t="s">
        <v>1927</v>
      </c>
      <c r="E437" s="126" t="s">
        <v>2139</v>
      </c>
      <c r="F437" s="125" t="s">
        <v>2187</v>
      </c>
      <c r="G437" s="125" t="s">
        <v>277</v>
      </c>
      <c r="H437" s="125" t="s">
        <v>278</v>
      </c>
      <c r="I437" s="125" t="s">
        <v>2320</v>
      </c>
      <c r="J437" s="127"/>
      <c r="K437" s="124">
        <v>1</v>
      </c>
      <c r="L437" s="124" t="s">
        <v>605</v>
      </c>
      <c r="M437" s="125" t="s">
        <v>91</v>
      </c>
      <c r="N437" s="155" t="s">
        <v>80</v>
      </c>
      <c r="O437" s="155"/>
    </row>
    <row r="438" spans="1:15" x14ac:dyDescent="0.25">
      <c r="A438" s="151" t="s">
        <v>84</v>
      </c>
      <c r="B438" s="152">
        <v>1</v>
      </c>
      <c r="C438" s="153" t="s">
        <v>4144</v>
      </c>
      <c r="D438" s="153"/>
      <c r="E438" s="153"/>
      <c r="F438" s="153"/>
      <c r="G438" s="57" t="s">
        <v>4144</v>
      </c>
      <c r="H438" s="60"/>
      <c r="I438" s="153"/>
      <c r="J438" s="153"/>
      <c r="K438" s="153"/>
      <c r="L438" s="154" t="s">
        <v>605</v>
      </c>
      <c r="M438" s="153"/>
      <c r="N438" s="153" t="s">
        <v>80</v>
      </c>
      <c r="O438" s="153"/>
    </row>
    <row r="439" spans="1:15" x14ac:dyDescent="0.25">
      <c r="A439" s="151" t="s">
        <v>84</v>
      </c>
      <c r="B439" s="152">
        <v>2</v>
      </c>
      <c r="C439" s="153" t="s">
        <v>4145</v>
      </c>
      <c r="D439" s="61" t="s">
        <v>6775</v>
      </c>
      <c r="E439" s="153"/>
      <c r="F439" s="153"/>
      <c r="G439" s="57" t="s">
        <v>465</v>
      </c>
      <c r="H439" s="57" t="s">
        <v>5084</v>
      </c>
      <c r="I439" s="153"/>
      <c r="J439" s="153"/>
      <c r="K439" s="153"/>
      <c r="L439" s="154" t="s">
        <v>605</v>
      </c>
      <c r="M439" s="153" t="s">
        <v>100</v>
      </c>
      <c r="N439" s="153" t="s">
        <v>80</v>
      </c>
      <c r="O439" s="153"/>
    </row>
    <row r="440" spans="1:15" x14ac:dyDescent="0.25">
      <c r="A440" s="155" t="s">
        <v>84</v>
      </c>
      <c r="B440" s="124">
        <v>3</v>
      </c>
      <c r="C440" s="125" t="s">
        <v>6443</v>
      </c>
      <c r="D440" s="125" t="s">
        <v>6746</v>
      </c>
      <c r="E440" s="126"/>
      <c r="F440" s="125"/>
      <c r="G440" s="125"/>
      <c r="H440" s="125"/>
      <c r="I440" s="125"/>
      <c r="J440" s="127"/>
      <c r="K440" s="124"/>
      <c r="L440" s="128" t="s">
        <v>605</v>
      </c>
      <c r="M440" s="125" t="s">
        <v>91</v>
      </c>
      <c r="N440" s="155" t="s">
        <v>80</v>
      </c>
      <c r="O440" s="155"/>
    </row>
    <row r="441" spans="1:15" s="37" customFormat="1" x14ac:dyDescent="0.25">
      <c r="A441" s="155" t="s">
        <v>84</v>
      </c>
      <c r="B441" s="124">
        <v>4</v>
      </c>
      <c r="C441" s="125" t="s">
        <v>116</v>
      </c>
      <c r="D441" s="125" t="s">
        <v>6747</v>
      </c>
      <c r="E441" s="126"/>
      <c r="F441" s="125"/>
      <c r="G441" s="125"/>
      <c r="H441" s="125"/>
      <c r="I441" s="125"/>
      <c r="J441" s="127"/>
      <c r="K441" s="124"/>
      <c r="L441" s="128" t="s">
        <v>605</v>
      </c>
      <c r="M441" s="125" t="s">
        <v>100</v>
      </c>
      <c r="N441" s="155" t="s">
        <v>80</v>
      </c>
      <c r="O441" s="155"/>
    </row>
    <row r="442" spans="1:15" x14ac:dyDescent="0.25">
      <c r="A442" s="155" t="s">
        <v>84</v>
      </c>
      <c r="B442" s="124">
        <v>5</v>
      </c>
      <c r="C442" s="125" t="s">
        <v>6946</v>
      </c>
      <c r="D442" s="127" t="s">
        <v>6778</v>
      </c>
      <c r="E442" s="126"/>
      <c r="F442" s="125"/>
      <c r="G442" s="125"/>
      <c r="H442" s="125"/>
      <c r="I442" s="125"/>
      <c r="J442" s="127"/>
      <c r="K442" s="124"/>
      <c r="L442" s="128" t="s">
        <v>605</v>
      </c>
      <c r="M442" s="125" t="s">
        <v>100</v>
      </c>
      <c r="N442" s="155" t="s">
        <v>80</v>
      </c>
      <c r="O442" s="155"/>
    </row>
    <row r="443" spans="1:15" x14ac:dyDescent="0.25">
      <c r="A443" s="151" t="s">
        <v>84</v>
      </c>
      <c r="B443" s="115">
        <v>6</v>
      </c>
      <c r="C443" s="61" t="s">
        <v>259</v>
      </c>
      <c r="D443" s="61" t="s">
        <v>2064</v>
      </c>
      <c r="E443" s="77" t="s">
        <v>1596</v>
      </c>
      <c r="F443" s="61" t="s">
        <v>2228</v>
      </c>
      <c r="G443" s="61" t="s">
        <v>467</v>
      </c>
      <c r="H443" s="61" t="s">
        <v>468</v>
      </c>
      <c r="I443" s="75" t="s">
        <v>2402</v>
      </c>
      <c r="J443" s="63"/>
      <c r="K443" s="84">
        <v>0</v>
      </c>
      <c r="L443" s="85">
        <v>0</v>
      </c>
      <c r="M443" s="61" t="s">
        <v>153</v>
      </c>
      <c r="N443" s="153" t="s">
        <v>80</v>
      </c>
      <c r="O443" s="153"/>
    </row>
    <row r="444" spans="1:15" x14ac:dyDescent="0.25">
      <c r="A444" s="151" t="s">
        <v>84</v>
      </c>
      <c r="B444" s="115">
        <v>7</v>
      </c>
      <c r="C444" s="61" t="s">
        <v>260</v>
      </c>
      <c r="D444" s="61" t="s">
        <v>2065</v>
      </c>
      <c r="E444" s="77" t="s">
        <v>1597</v>
      </c>
      <c r="F444" s="61" t="s">
        <v>2229</v>
      </c>
      <c r="G444" s="61" t="s">
        <v>469</v>
      </c>
      <c r="H444" s="61" t="s">
        <v>470</v>
      </c>
      <c r="I444" s="75" t="s">
        <v>2403</v>
      </c>
      <c r="J444" s="63"/>
      <c r="K444" s="84">
        <v>0</v>
      </c>
      <c r="L444" s="85">
        <v>0</v>
      </c>
      <c r="M444" s="61" t="s">
        <v>153</v>
      </c>
      <c r="N444" s="153" t="s">
        <v>80</v>
      </c>
      <c r="O444" s="153"/>
    </row>
    <row r="445" spans="1:15" x14ac:dyDescent="0.25">
      <c r="A445" s="151" t="s">
        <v>84</v>
      </c>
      <c r="B445" s="115">
        <v>8</v>
      </c>
      <c r="C445" s="61" t="s">
        <v>261</v>
      </c>
      <c r="D445" s="61" t="s">
        <v>2066</v>
      </c>
      <c r="E445" s="77" t="s">
        <v>1598</v>
      </c>
      <c r="F445" s="61" t="s">
        <v>2230</v>
      </c>
      <c r="G445" s="61" t="s">
        <v>471</v>
      </c>
      <c r="H445" s="61" t="s">
        <v>472</v>
      </c>
      <c r="I445" s="75" t="s">
        <v>2404</v>
      </c>
      <c r="J445" s="63"/>
      <c r="K445" s="84">
        <v>0</v>
      </c>
      <c r="L445" s="85">
        <v>0</v>
      </c>
      <c r="M445" s="61" t="s">
        <v>153</v>
      </c>
      <c r="N445" s="153" t="s">
        <v>80</v>
      </c>
      <c r="O445" s="153"/>
    </row>
    <row r="446" spans="1:15" x14ac:dyDescent="0.25">
      <c r="A446" s="151" t="s">
        <v>84</v>
      </c>
      <c r="B446" s="152">
        <v>39</v>
      </c>
      <c r="C446" s="153" t="s">
        <v>4149</v>
      </c>
      <c r="D446" s="153"/>
      <c r="E446" s="153"/>
      <c r="F446" s="153"/>
      <c r="G446" s="57" t="s">
        <v>5092</v>
      </c>
      <c r="H446" s="57" t="s">
        <v>5093</v>
      </c>
      <c r="I446" s="153"/>
      <c r="J446" s="153"/>
      <c r="K446" s="153"/>
      <c r="L446" s="154">
        <v>0</v>
      </c>
      <c r="M446" s="153" t="s">
        <v>6351</v>
      </c>
      <c r="N446" s="153" t="s">
        <v>80</v>
      </c>
      <c r="O446" s="153"/>
    </row>
    <row r="447" spans="1:15" x14ac:dyDescent="0.25">
      <c r="A447" s="151" t="s">
        <v>84</v>
      </c>
      <c r="B447" s="152">
        <v>40</v>
      </c>
      <c r="C447" s="153" t="s">
        <v>4150</v>
      </c>
      <c r="D447" s="153"/>
      <c r="E447" s="153"/>
      <c r="F447" s="153"/>
      <c r="G447" s="57" t="s">
        <v>5094</v>
      </c>
      <c r="H447" s="57" t="s">
        <v>5095</v>
      </c>
      <c r="I447" s="153"/>
      <c r="J447" s="153"/>
      <c r="K447" s="153"/>
      <c r="L447" s="154">
        <v>0</v>
      </c>
      <c r="M447" s="153" t="s">
        <v>6351</v>
      </c>
      <c r="N447" s="153" t="s">
        <v>80</v>
      </c>
      <c r="O447" s="153"/>
    </row>
    <row r="448" spans="1:15" x14ac:dyDescent="0.25">
      <c r="A448" s="151" t="s">
        <v>84</v>
      </c>
      <c r="B448" s="152">
        <v>41</v>
      </c>
      <c r="C448" s="153" t="s">
        <v>2699</v>
      </c>
      <c r="D448" s="153"/>
      <c r="E448" s="153"/>
      <c r="F448" s="153"/>
      <c r="G448" s="57" t="s">
        <v>5096</v>
      </c>
      <c r="H448" s="57" t="s">
        <v>5097</v>
      </c>
      <c r="I448" s="153"/>
      <c r="J448" s="153"/>
      <c r="K448" s="153"/>
      <c r="L448" s="154">
        <v>0</v>
      </c>
      <c r="M448" s="153" t="s">
        <v>153</v>
      </c>
      <c r="N448" s="153" t="s">
        <v>80</v>
      </c>
      <c r="O448" s="153"/>
    </row>
    <row r="449" spans="1:15" x14ac:dyDescent="0.25">
      <c r="A449" s="151" t="s">
        <v>84</v>
      </c>
      <c r="B449" s="152"/>
      <c r="C449" s="153" t="s">
        <v>4192</v>
      </c>
      <c r="D449" s="153"/>
      <c r="E449" s="153"/>
      <c r="F449" s="153"/>
      <c r="G449" s="60" t="s">
        <v>5180</v>
      </c>
      <c r="H449" s="60" t="s">
        <v>5181</v>
      </c>
      <c r="I449" s="153"/>
      <c r="J449" s="153"/>
      <c r="K449" s="153"/>
      <c r="L449" s="154">
        <v>0</v>
      </c>
      <c r="M449" s="153" t="s">
        <v>6351</v>
      </c>
      <c r="N449" s="153" t="s">
        <v>80</v>
      </c>
      <c r="O449" s="153"/>
    </row>
    <row r="450" spans="1:15" x14ac:dyDescent="0.25">
      <c r="A450" s="151" t="s">
        <v>84</v>
      </c>
      <c r="B450" s="152"/>
      <c r="C450" s="153" t="s">
        <v>4175</v>
      </c>
      <c r="D450" s="153"/>
      <c r="E450" s="153"/>
      <c r="F450" s="153"/>
      <c r="G450" s="57" t="s">
        <v>5146</v>
      </c>
      <c r="H450" s="57" t="s">
        <v>5147</v>
      </c>
      <c r="I450" s="153"/>
      <c r="J450" s="153"/>
      <c r="K450" s="153"/>
      <c r="L450" s="154">
        <v>0</v>
      </c>
      <c r="M450" s="153" t="s">
        <v>153</v>
      </c>
      <c r="N450" s="153" t="s">
        <v>80</v>
      </c>
      <c r="O450" s="153"/>
    </row>
    <row r="451" spans="1:15" x14ac:dyDescent="0.25">
      <c r="A451" s="151" t="s">
        <v>84</v>
      </c>
      <c r="B451" s="152"/>
      <c r="C451" s="153" t="s">
        <v>4181</v>
      </c>
      <c r="D451" s="153"/>
      <c r="E451" s="153"/>
      <c r="F451" s="153"/>
      <c r="G451" s="57" t="s">
        <v>5158</v>
      </c>
      <c r="H451" s="57" t="s">
        <v>5159</v>
      </c>
      <c r="I451" s="153"/>
      <c r="J451" s="153"/>
      <c r="K451" s="153"/>
      <c r="L451" s="154">
        <v>0</v>
      </c>
      <c r="M451" s="153" t="s">
        <v>153</v>
      </c>
      <c r="N451" s="153" t="s">
        <v>80</v>
      </c>
      <c r="O451" s="153"/>
    </row>
    <row r="452" spans="1:15" x14ac:dyDescent="0.25">
      <c r="A452" s="151" t="s">
        <v>84</v>
      </c>
      <c r="B452" s="152"/>
      <c r="C452" s="153" t="s">
        <v>4176</v>
      </c>
      <c r="D452" s="153"/>
      <c r="E452" s="153"/>
      <c r="F452" s="153"/>
      <c r="G452" s="57" t="s">
        <v>5148</v>
      </c>
      <c r="H452" s="57" t="s">
        <v>5149</v>
      </c>
      <c r="I452" s="153"/>
      <c r="J452" s="153"/>
      <c r="K452" s="153"/>
      <c r="L452" s="154">
        <v>0</v>
      </c>
      <c r="M452" s="153" t="s">
        <v>153</v>
      </c>
      <c r="N452" s="153" t="s">
        <v>80</v>
      </c>
      <c r="O452" s="153"/>
    </row>
    <row r="453" spans="1:15" x14ac:dyDescent="0.25">
      <c r="A453" s="151" t="s">
        <v>84</v>
      </c>
      <c r="B453" s="152"/>
      <c r="C453" s="153" t="s">
        <v>4177</v>
      </c>
      <c r="D453" s="153"/>
      <c r="E453" s="153"/>
      <c r="F453" s="153"/>
      <c r="G453" s="57" t="s">
        <v>5150</v>
      </c>
      <c r="H453" s="57" t="s">
        <v>5151</v>
      </c>
      <c r="I453" s="153"/>
      <c r="J453" s="153"/>
      <c r="K453" s="153"/>
      <c r="L453" s="154">
        <v>0</v>
      </c>
      <c r="M453" s="153" t="s">
        <v>153</v>
      </c>
      <c r="N453" s="153" t="s">
        <v>80</v>
      </c>
      <c r="O453" s="153"/>
    </row>
    <row r="454" spans="1:15" x14ac:dyDescent="0.25">
      <c r="A454" s="151" t="s">
        <v>84</v>
      </c>
      <c r="B454" s="152"/>
      <c r="C454" s="153" t="s">
        <v>4179</v>
      </c>
      <c r="D454" s="153"/>
      <c r="E454" s="153"/>
      <c r="F454" s="153"/>
      <c r="G454" s="57" t="s">
        <v>5154</v>
      </c>
      <c r="H454" s="57" t="s">
        <v>5155</v>
      </c>
      <c r="I454" s="153"/>
      <c r="J454" s="153"/>
      <c r="K454" s="153"/>
      <c r="L454" s="154">
        <v>0</v>
      </c>
      <c r="M454" s="153" t="s">
        <v>153</v>
      </c>
      <c r="N454" s="153" t="s">
        <v>80</v>
      </c>
      <c r="O454" s="153"/>
    </row>
    <row r="455" spans="1:15" x14ac:dyDescent="0.25">
      <c r="A455" s="151" t="s">
        <v>84</v>
      </c>
      <c r="B455" s="152"/>
      <c r="C455" s="153" t="s">
        <v>4164</v>
      </c>
      <c r="D455" s="153"/>
      <c r="E455" s="153"/>
      <c r="F455" s="153"/>
      <c r="G455" s="57" t="s">
        <v>5124</v>
      </c>
      <c r="H455" s="57" t="s">
        <v>5125</v>
      </c>
      <c r="I455" s="153"/>
      <c r="J455" s="153"/>
      <c r="K455" s="153"/>
      <c r="L455" s="154">
        <v>0</v>
      </c>
      <c r="M455" s="153" t="s">
        <v>153</v>
      </c>
      <c r="N455" s="153" t="s">
        <v>80</v>
      </c>
      <c r="O455" s="153"/>
    </row>
    <row r="456" spans="1:15" x14ac:dyDescent="0.25">
      <c r="A456" s="151" t="s">
        <v>84</v>
      </c>
      <c r="B456" s="152"/>
      <c r="C456" s="153" t="s">
        <v>4165</v>
      </c>
      <c r="D456" s="153"/>
      <c r="E456" s="153"/>
      <c r="F456" s="153"/>
      <c r="G456" s="57" t="s">
        <v>5126</v>
      </c>
      <c r="H456" s="57" t="s">
        <v>5127</v>
      </c>
      <c r="I456" s="153"/>
      <c r="J456" s="153"/>
      <c r="K456" s="153"/>
      <c r="L456" s="154">
        <v>0</v>
      </c>
      <c r="M456" s="153" t="s">
        <v>153</v>
      </c>
      <c r="N456" s="153" t="s">
        <v>80</v>
      </c>
      <c r="O456" s="153"/>
    </row>
    <row r="457" spans="1:15" x14ac:dyDescent="0.25">
      <c r="A457" s="151" t="s">
        <v>84</v>
      </c>
      <c r="B457" s="152"/>
      <c r="C457" s="153" t="s">
        <v>4173</v>
      </c>
      <c r="D457" s="153"/>
      <c r="E457" s="153"/>
      <c r="F457" s="153"/>
      <c r="G457" s="57" t="s">
        <v>5142</v>
      </c>
      <c r="H457" s="57" t="s">
        <v>5143</v>
      </c>
      <c r="I457" s="153"/>
      <c r="J457" s="153"/>
      <c r="K457" s="153"/>
      <c r="L457" s="154">
        <v>0</v>
      </c>
      <c r="M457" s="153" t="s">
        <v>153</v>
      </c>
      <c r="N457" s="153" t="s">
        <v>80</v>
      </c>
      <c r="O457" s="153"/>
    </row>
    <row r="458" spans="1:15" x14ac:dyDescent="0.25">
      <c r="A458" s="151" t="s">
        <v>84</v>
      </c>
      <c r="B458" s="152"/>
      <c r="C458" s="153" t="s">
        <v>4153</v>
      </c>
      <c r="D458" s="153"/>
      <c r="E458" s="153"/>
      <c r="F458" s="153"/>
      <c r="G458" s="57" t="s">
        <v>5102</v>
      </c>
      <c r="H458" s="57" t="s">
        <v>5103</v>
      </c>
      <c r="I458" s="153"/>
      <c r="J458" s="153"/>
      <c r="K458" s="153"/>
      <c r="L458" s="154">
        <v>0</v>
      </c>
      <c r="M458" s="153" t="s">
        <v>6351</v>
      </c>
      <c r="N458" s="153" t="s">
        <v>80</v>
      </c>
      <c r="O458" s="153"/>
    </row>
    <row r="459" spans="1:15" x14ac:dyDescent="0.25">
      <c r="A459" s="151" t="s">
        <v>84</v>
      </c>
      <c r="B459" s="152"/>
      <c r="C459" s="153" t="s">
        <v>4191</v>
      </c>
      <c r="D459" s="153"/>
      <c r="E459" s="153"/>
      <c r="F459" s="153"/>
      <c r="G459" s="57" t="s">
        <v>5178</v>
      </c>
      <c r="H459" s="57" t="s">
        <v>5179</v>
      </c>
      <c r="I459" s="153"/>
      <c r="J459" s="153"/>
      <c r="K459" s="153"/>
      <c r="L459" s="154">
        <v>0</v>
      </c>
      <c r="M459" s="153" t="s">
        <v>3005</v>
      </c>
      <c r="N459" s="153" t="s">
        <v>80</v>
      </c>
      <c r="O459" s="153"/>
    </row>
    <row r="460" spans="1:15" x14ac:dyDescent="0.25">
      <c r="A460" s="151" t="s">
        <v>84</v>
      </c>
      <c r="B460" s="152"/>
      <c r="C460" s="153" t="s">
        <v>4166</v>
      </c>
      <c r="D460" s="153"/>
      <c r="E460" s="153"/>
      <c r="F460" s="153"/>
      <c r="G460" s="57" t="s">
        <v>5128</v>
      </c>
      <c r="H460" s="57" t="s">
        <v>5129</v>
      </c>
      <c r="I460" s="153"/>
      <c r="J460" s="153"/>
      <c r="K460" s="153"/>
      <c r="L460" s="154">
        <v>0</v>
      </c>
      <c r="M460" s="153" t="s">
        <v>153</v>
      </c>
      <c r="N460" s="153" t="s">
        <v>80</v>
      </c>
      <c r="O460" s="153"/>
    </row>
    <row r="461" spans="1:15" x14ac:dyDescent="0.25">
      <c r="A461" s="151" t="s">
        <v>84</v>
      </c>
      <c r="B461" s="152"/>
      <c r="C461" s="153" t="s">
        <v>4154</v>
      </c>
      <c r="D461" s="153"/>
      <c r="E461" s="153"/>
      <c r="F461" s="153"/>
      <c r="G461" s="57" t="s">
        <v>5104</v>
      </c>
      <c r="H461" s="57" t="s">
        <v>5105</v>
      </c>
      <c r="I461" s="153"/>
      <c r="J461" s="153"/>
      <c r="K461" s="153"/>
      <c r="L461" s="154">
        <v>0</v>
      </c>
      <c r="M461" s="153" t="s">
        <v>6351</v>
      </c>
      <c r="N461" s="153" t="s">
        <v>80</v>
      </c>
      <c r="O461" s="153"/>
    </row>
    <row r="462" spans="1:15" x14ac:dyDescent="0.25">
      <c r="A462" s="151" t="s">
        <v>84</v>
      </c>
      <c r="B462" s="152"/>
      <c r="C462" s="153" t="s">
        <v>4180</v>
      </c>
      <c r="D462" s="153"/>
      <c r="E462" s="153"/>
      <c r="F462" s="153"/>
      <c r="G462" s="57" t="s">
        <v>5156</v>
      </c>
      <c r="H462" s="57" t="s">
        <v>5157</v>
      </c>
      <c r="I462" s="153"/>
      <c r="J462" s="153"/>
      <c r="K462" s="153"/>
      <c r="L462" s="154">
        <v>0</v>
      </c>
      <c r="M462" s="153" t="s">
        <v>153</v>
      </c>
      <c r="N462" s="153" t="s">
        <v>80</v>
      </c>
      <c r="O462" s="153"/>
    </row>
    <row r="463" spans="1:15" x14ac:dyDescent="0.25">
      <c r="A463" s="151" t="s">
        <v>84</v>
      </c>
      <c r="B463" s="152"/>
      <c r="C463" s="153" t="s">
        <v>4174</v>
      </c>
      <c r="D463" s="153"/>
      <c r="E463" s="153"/>
      <c r="F463" s="153"/>
      <c r="G463" s="57" t="s">
        <v>5144</v>
      </c>
      <c r="H463" s="57" t="s">
        <v>5145</v>
      </c>
      <c r="I463" s="153"/>
      <c r="J463" s="153"/>
      <c r="K463" s="153"/>
      <c r="L463" s="154">
        <v>0</v>
      </c>
      <c r="M463" s="153" t="s">
        <v>153</v>
      </c>
      <c r="N463" s="153" t="s">
        <v>80</v>
      </c>
      <c r="O463" s="153"/>
    </row>
    <row r="464" spans="1:15" x14ac:dyDescent="0.25">
      <c r="A464" s="151" t="s">
        <v>84</v>
      </c>
      <c r="B464" s="152"/>
      <c r="C464" s="153" t="s">
        <v>4178</v>
      </c>
      <c r="D464" s="153"/>
      <c r="E464" s="153"/>
      <c r="F464" s="153"/>
      <c r="G464" s="57" t="s">
        <v>5152</v>
      </c>
      <c r="H464" s="57" t="s">
        <v>5153</v>
      </c>
      <c r="I464" s="153"/>
      <c r="J464" s="153"/>
      <c r="K464" s="153"/>
      <c r="L464" s="154">
        <v>0</v>
      </c>
      <c r="M464" s="153" t="s">
        <v>153</v>
      </c>
      <c r="N464" s="153" t="s">
        <v>80</v>
      </c>
      <c r="O464" s="153"/>
    </row>
    <row r="465" spans="1:15" x14ac:dyDescent="0.25">
      <c r="A465" s="151" t="s">
        <v>84</v>
      </c>
      <c r="B465" s="152"/>
      <c r="C465" s="153" t="s">
        <v>4086</v>
      </c>
      <c r="D465" s="153"/>
      <c r="E465" s="153"/>
      <c r="F465" s="153"/>
      <c r="G465" s="60" t="s">
        <v>5184</v>
      </c>
      <c r="H465" s="60" t="s">
        <v>5185</v>
      </c>
      <c r="I465" s="153"/>
      <c r="J465" s="153"/>
      <c r="K465" s="153"/>
      <c r="L465" s="154">
        <v>0</v>
      </c>
      <c r="M465" s="153" t="s">
        <v>3002</v>
      </c>
      <c r="N465" s="153" t="s">
        <v>80</v>
      </c>
      <c r="O465" s="153"/>
    </row>
    <row r="466" spans="1:15" x14ac:dyDescent="0.25">
      <c r="A466" s="151" t="s">
        <v>84</v>
      </c>
      <c r="B466" s="152"/>
      <c r="C466" s="153" t="s">
        <v>4158</v>
      </c>
      <c r="D466" s="153"/>
      <c r="E466" s="153"/>
      <c r="F466" s="153"/>
      <c r="G466" s="57" t="s">
        <v>5112</v>
      </c>
      <c r="H466" s="57" t="s">
        <v>5113</v>
      </c>
      <c r="I466" s="153"/>
      <c r="J466" s="153"/>
      <c r="K466" s="153"/>
      <c r="L466" s="154">
        <v>0</v>
      </c>
      <c r="M466" s="153" t="s">
        <v>153</v>
      </c>
      <c r="N466" s="153" t="s">
        <v>80</v>
      </c>
      <c r="O466" s="153"/>
    </row>
    <row r="467" spans="1:15" x14ac:dyDescent="0.25">
      <c r="A467" s="151" t="s">
        <v>84</v>
      </c>
      <c r="B467" s="152"/>
      <c r="C467" s="153" t="s">
        <v>4159</v>
      </c>
      <c r="D467" s="153"/>
      <c r="E467" s="153"/>
      <c r="F467" s="153"/>
      <c r="G467" s="57" t="s">
        <v>5114</v>
      </c>
      <c r="H467" s="57" t="s">
        <v>5115</v>
      </c>
      <c r="I467" s="153"/>
      <c r="J467" s="153"/>
      <c r="K467" s="153"/>
      <c r="L467" s="154">
        <v>0</v>
      </c>
      <c r="M467" s="153" t="s">
        <v>153</v>
      </c>
      <c r="N467" s="153" t="s">
        <v>80</v>
      </c>
      <c r="O467" s="153"/>
    </row>
    <row r="468" spans="1:15" x14ac:dyDescent="0.25">
      <c r="A468" s="151" t="s">
        <v>84</v>
      </c>
      <c r="B468" s="152"/>
      <c r="C468" s="153" t="s">
        <v>4160</v>
      </c>
      <c r="D468" s="153"/>
      <c r="E468" s="153"/>
      <c r="F468" s="153"/>
      <c r="G468" s="57" t="s">
        <v>5116</v>
      </c>
      <c r="H468" s="57" t="s">
        <v>5117</v>
      </c>
      <c r="I468" s="153"/>
      <c r="J468" s="153"/>
      <c r="K468" s="153"/>
      <c r="L468" s="154">
        <v>0</v>
      </c>
      <c r="M468" s="153" t="s">
        <v>153</v>
      </c>
      <c r="N468" s="153" t="s">
        <v>80</v>
      </c>
      <c r="O468" s="153"/>
    </row>
    <row r="469" spans="1:15" x14ac:dyDescent="0.25">
      <c r="A469" s="151" t="s">
        <v>84</v>
      </c>
      <c r="B469" s="152"/>
      <c r="C469" s="153" t="s">
        <v>4161</v>
      </c>
      <c r="D469" s="153"/>
      <c r="E469" s="153"/>
      <c r="F469" s="153"/>
      <c r="G469" s="57" t="s">
        <v>5118</v>
      </c>
      <c r="H469" s="57" t="s">
        <v>5119</v>
      </c>
      <c r="I469" s="153"/>
      <c r="J469" s="153"/>
      <c r="K469" s="153"/>
      <c r="L469" s="154">
        <v>0</v>
      </c>
      <c r="M469" s="153" t="s">
        <v>153</v>
      </c>
      <c r="N469" s="153" t="s">
        <v>80</v>
      </c>
      <c r="O469" s="153"/>
    </row>
    <row r="470" spans="1:15" x14ac:dyDescent="0.25">
      <c r="A470" s="151" t="s">
        <v>84</v>
      </c>
      <c r="B470" s="152"/>
      <c r="C470" s="153" t="s">
        <v>4162</v>
      </c>
      <c r="D470" s="153"/>
      <c r="E470" s="153"/>
      <c r="F470" s="153"/>
      <c r="G470" s="57" t="s">
        <v>5120</v>
      </c>
      <c r="H470" s="57" t="s">
        <v>5121</v>
      </c>
      <c r="I470" s="153"/>
      <c r="J470" s="153"/>
      <c r="K470" s="153"/>
      <c r="L470" s="154">
        <v>0</v>
      </c>
      <c r="M470" s="153" t="s">
        <v>153</v>
      </c>
      <c r="N470" s="153" t="s">
        <v>80</v>
      </c>
      <c r="O470" s="153"/>
    </row>
    <row r="471" spans="1:15" x14ac:dyDescent="0.25">
      <c r="A471" s="151" t="s">
        <v>84</v>
      </c>
      <c r="B471" s="152"/>
      <c r="C471" s="153" t="s">
        <v>4151</v>
      </c>
      <c r="D471" s="153"/>
      <c r="E471" s="153"/>
      <c r="F471" s="153"/>
      <c r="G471" s="57" t="s">
        <v>5098</v>
      </c>
      <c r="H471" s="57" t="s">
        <v>5099</v>
      </c>
      <c r="I471" s="153"/>
      <c r="J471" s="153"/>
      <c r="K471" s="153"/>
      <c r="L471" s="154">
        <v>0</v>
      </c>
      <c r="M471" s="153" t="s">
        <v>92</v>
      </c>
      <c r="N471" s="153" t="s">
        <v>80</v>
      </c>
      <c r="O471" s="153"/>
    </row>
    <row r="472" spans="1:15" x14ac:dyDescent="0.25">
      <c r="A472" s="151" t="s">
        <v>84</v>
      </c>
      <c r="B472" s="152"/>
      <c r="C472" s="153" t="s">
        <v>4156</v>
      </c>
      <c r="D472" s="153"/>
      <c r="E472" s="153"/>
      <c r="F472" s="153"/>
      <c r="G472" s="60" t="s">
        <v>5108</v>
      </c>
      <c r="H472" s="60" t="s">
        <v>5109</v>
      </c>
      <c r="I472" s="153"/>
      <c r="J472" s="153"/>
      <c r="K472" s="153"/>
      <c r="L472" s="154">
        <v>0</v>
      </c>
      <c r="M472" s="153" t="s">
        <v>6351</v>
      </c>
      <c r="N472" s="153" t="s">
        <v>80</v>
      </c>
      <c r="O472" s="153"/>
    </row>
    <row r="473" spans="1:15" x14ac:dyDescent="0.25">
      <c r="A473" s="151" t="s">
        <v>84</v>
      </c>
      <c r="B473" s="152"/>
      <c r="C473" s="153" t="s">
        <v>4155</v>
      </c>
      <c r="D473" s="153"/>
      <c r="E473" s="153"/>
      <c r="F473" s="153"/>
      <c r="G473" s="57" t="s">
        <v>5106</v>
      </c>
      <c r="H473" s="57" t="s">
        <v>5107</v>
      </c>
      <c r="I473" s="153"/>
      <c r="J473" s="153"/>
      <c r="K473" s="153"/>
      <c r="L473" s="154">
        <v>0</v>
      </c>
      <c r="M473" s="153" t="s">
        <v>6351</v>
      </c>
      <c r="N473" s="153" t="s">
        <v>80</v>
      </c>
      <c r="O473" s="153"/>
    </row>
    <row r="474" spans="1:15" x14ac:dyDescent="0.25">
      <c r="A474" s="151" t="s">
        <v>84</v>
      </c>
      <c r="B474" s="152"/>
      <c r="C474" s="153" t="s">
        <v>4182</v>
      </c>
      <c r="D474" s="153"/>
      <c r="E474" s="153"/>
      <c r="F474" s="153"/>
      <c r="G474" s="57" t="s">
        <v>5160</v>
      </c>
      <c r="H474" s="57" t="s">
        <v>5161</v>
      </c>
      <c r="I474" s="153"/>
      <c r="J474" s="153"/>
      <c r="K474" s="153"/>
      <c r="L474" s="154">
        <v>0</v>
      </c>
      <c r="M474" s="153" t="s">
        <v>153</v>
      </c>
      <c r="N474" s="153" t="s">
        <v>80</v>
      </c>
      <c r="O474" s="153"/>
    </row>
    <row r="475" spans="1:15" x14ac:dyDescent="0.25">
      <c r="A475" s="151" t="s">
        <v>84</v>
      </c>
      <c r="B475" s="152"/>
      <c r="C475" s="153" t="s">
        <v>4168</v>
      </c>
      <c r="D475" s="153"/>
      <c r="E475" s="153"/>
      <c r="F475" s="153"/>
      <c r="G475" s="57" t="s">
        <v>5132</v>
      </c>
      <c r="H475" s="57" t="s">
        <v>5133</v>
      </c>
      <c r="I475" s="153"/>
      <c r="J475" s="153"/>
      <c r="K475" s="153"/>
      <c r="L475" s="154">
        <v>0</v>
      </c>
      <c r="M475" s="153" t="s">
        <v>153</v>
      </c>
      <c r="N475" s="153" t="s">
        <v>80</v>
      </c>
      <c r="O475" s="153"/>
    </row>
    <row r="476" spans="1:15" x14ac:dyDescent="0.25">
      <c r="A476" s="151" t="s">
        <v>84</v>
      </c>
      <c r="B476" s="152"/>
      <c r="C476" s="153" t="s">
        <v>4171</v>
      </c>
      <c r="D476" s="153"/>
      <c r="E476" s="153"/>
      <c r="F476" s="153"/>
      <c r="G476" s="57" t="s">
        <v>5138</v>
      </c>
      <c r="H476" s="57" t="s">
        <v>5139</v>
      </c>
      <c r="I476" s="153"/>
      <c r="J476" s="153"/>
      <c r="K476" s="153"/>
      <c r="L476" s="154">
        <v>0</v>
      </c>
      <c r="M476" s="153" t="s">
        <v>153</v>
      </c>
      <c r="N476" s="153" t="s">
        <v>80</v>
      </c>
      <c r="O476" s="153"/>
    </row>
    <row r="477" spans="1:15" x14ac:dyDescent="0.25">
      <c r="A477" s="151" t="s">
        <v>84</v>
      </c>
      <c r="B477" s="152"/>
      <c r="C477" s="153" t="s">
        <v>4169</v>
      </c>
      <c r="D477" s="153"/>
      <c r="E477" s="153"/>
      <c r="F477" s="153"/>
      <c r="G477" s="57" t="s">
        <v>5134</v>
      </c>
      <c r="H477" s="57" t="s">
        <v>5135</v>
      </c>
      <c r="I477" s="153"/>
      <c r="J477" s="153"/>
      <c r="K477" s="153"/>
      <c r="L477" s="154">
        <v>0</v>
      </c>
      <c r="M477" s="153" t="s">
        <v>153</v>
      </c>
      <c r="N477" s="153" t="s">
        <v>80</v>
      </c>
      <c r="O477" s="153"/>
    </row>
    <row r="478" spans="1:15" x14ac:dyDescent="0.25">
      <c r="A478" s="151" t="s">
        <v>84</v>
      </c>
      <c r="B478" s="152"/>
      <c r="C478" s="153" t="s">
        <v>4170</v>
      </c>
      <c r="D478" s="153"/>
      <c r="E478" s="153"/>
      <c r="F478" s="153"/>
      <c r="G478" s="57" t="s">
        <v>5136</v>
      </c>
      <c r="H478" s="57" t="s">
        <v>5137</v>
      </c>
      <c r="I478" s="153"/>
      <c r="J478" s="153"/>
      <c r="K478" s="153"/>
      <c r="L478" s="154">
        <v>0</v>
      </c>
      <c r="M478" s="153" t="s">
        <v>153</v>
      </c>
      <c r="N478" s="153" t="s">
        <v>80</v>
      </c>
      <c r="O478" s="153"/>
    </row>
    <row r="479" spans="1:15" x14ac:dyDescent="0.25">
      <c r="A479" s="151" t="s">
        <v>84</v>
      </c>
      <c r="B479" s="152"/>
      <c r="C479" s="153" t="s">
        <v>4172</v>
      </c>
      <c r="D479" s="153"/>
      <c r="E479" s="153"/>
      <c r="F479" s="153"/>
      <c r="G479" s="57" t="s">
        <v>5140</v>
      </c>
      <c r="H479" s="57" t="s">
        <v>5141</v>
      </c>
      <c r="I479" s="153"/>
      <c r="J479" s="153"/>
      <c r="K479" s="153"/>
      <c r="L479" s="154">
        <v>0</v>
      </c>
      <c r="M479" s="153" t="s">
        <v>153</v>
      </c>
      <c r="N479" s="153" t="s">
        <v>80</v>
      </c>
      <c r="O479" s="153"/>
    </row>
    <row r="480" spans="1:15" x14ac:dyDescent="0.25">
      <c r="A480" s="151" t="s">
        <v>84</v>
      </c>
      <c r="B480" s="152"/>
      <c r="C480" s="153" t="s">
        <v>4146</v>
      </c>
      <c r="D480" s="153"/>
      <c r="E480" s="153"/>
      <c r="F480" s="153"/>
      <c r="G480" s="57" t="s">
        <v>5086</v>
      </c>
      <c r="H480" s="57" t="s">
        <v>5087</v>
      </c>
      <c r="I480" s="153"/>
      <c r="J480" s="153"/>
      <c r="K480" s="153"/>
      <c r="L480" s="154">
        <v>0</v>
      </c>
      <c r="M480" s="153" t="s">
        <v>3009</v>
      </c>
      <c r="N480" s="153" t="s">
        <v>80</v>
      </c>
      <c r="O480" s="153"/>
    </row>
    <row r="481" spans="1:15" x14ac:dyDescent="0.25">
      <c r="A481" s="151" t="s">
        <v>84</v>
      </c>
      <c r="B481" s="152"/>
      <c r="C481" s="153" t="s">
        <v>4152</v>
      </c>
      <c r="D481" s="153"/>
      <c r="E481" s="153"/>
      <c r="F481" s="153"/>
      <c r="G481" s="57" t="s">
        <v>5100</v>
      </c>
      <c r="H481" s="57" t="s">
        <v>5101</v>
      </c>
      <c r="I481" s="153"/>
      <c r="J481" s="153"/>
      <c r="K481" s="153"/>
      <c r="L481" s="154">
        <v>0</v>
      </c>
      <c r="M481" s="153" t="s">
        <v>6351</v>
      </c>
      <c r="N481" s="153" t="s">
        <v>80</v>
      </c>
      <c r="O481" s="153"/>
    </row>
    <row r="482" spans="1:15" x14ac:dyDescent="0.25">
      <c r="A482" s="151" t="s">
        <v>84</v>
      </c>
      <c r="B482" s="152"/>
      <c r="C482" s="153" t="s">
        <v>4167</v>
      </c>
      <c r="D482" s="153"/>
      <c r="E482" s="153"/>
      <c r="F482" s="153"/>
      <c r="G482" s="57" t="s">
        <v>5130</v>
      </c>
      <c r="H482" s="57" t="s">
        <v>5131</v>
      </c>
      <c r="I482" s="153"/>
      <c r="J482" s="153"/>
      <c r="K482" s="153"/>
      <c r="L482" s="154">
        <v>0</v>
      </c>
      <c r="M482" s="153" t="s">
        <v>153</v>
      </c>
      <c r="N482" s="153" t="s">
        <v>80</v>
      </c>
      <c r="O482" s="153"/>
    </row>
    <row r="483" spans="1:15" x14ac:dyDescent="0.25">
      <c r="A483" s="151" t="s">
        <v>84</v>
      </c>
      <c r="B483" s="152"/>
      <c r="C483" s="153" t="s">
        <v>4193</v>
      </c>
      <c r="D483" s="153"/>
      <c r="E483" s="153"/>
      <c r="F483" s="153"/>
      <c r="G483" s="60" t="s">
        <v>5182</v>
      </c>
      <c r="H483" s="60" t="s">
        <v>5183</v>
      </c>
      <c r="I483" s="153"/>
      <c r="J483" s="153"/>
      <c r="K483" s="153"/>
      <c r="L483" s="154">
        <v>0</v>
      </c>
      <c r="M483" s="153" t="s">
        <v>6351</v>
      </c>
      <c r="N483" s="153" t="s">
        <v>80</v>
      </c>
      <c r="O483" s="153"/>
    </row>
    <row r="484" spans="1:15" x14ac:dyDescent="0.25">
      <c r="A484" s="151" t="s">
        <v>84</v>
      </c>
      <c r="B484" s="152"/>
      <c r="C484" s="153" t="s">
        <v>4183</v>
      </c>
      <c r="D484" s="153"/>
      <c r="E484" s="153"/>
      <c r="F484" s="153"/>
      <c r="G484" s="57" t="s">
        <v>5162</v>
      </c>
      <c r="H484" s="57" t="s">
        <v>5163</v>
      </c>
      <c r="I484" s="153"/>
      <c r="J484" s="153"/>
      <c r="K484" s="153"/>
      <c r="L484" s="154">
        <v>0</v>
      </c>
      <c r="M484" s="153" t="s">
        <v>153</v>
      </c>
      <c r="N484" s="153" t="s">
        <v>80</v>
      </c>
      <c r="O484" s="153"/>
    </row>
    <row r="485" spans="1:15" x14ac:dyDescent="0.25">
      <c r="A485" s="151" t="s">
        <v>84</v>
      </c>
      <c r="B485" s="152"/>
      <c r="C485" s="153" t="s">
        <v>4163</v>
      </c>
      <c r="D485" s="153"/>
      <c r="E485" s="153"/>
      <c r="F485" s="153"/>
      <c r="G485" s="57" t="s">
        <v>5122</v>
      </c>
      <c r="H485" s="57" t="s">
        <v>5123</v>
      </c>
      <c r="I485" s="153"/>
      <c r="J485" s="153"/>
      <c r="K485" s="153"/>
      <c r="L485" s="154">
        <v>0</v>
      </c>
      <c r="M485" s="153" t="s">
        <v>153</v>
      </c>
      <c r="N485" s="153" t="s">
        <v>80</v>
      </c>
      <c r="O485" s="153"/>
    </row>
    <row r="486" spans="1:15" x14ac:dyDescent="0.25">
      <c r="A486" s="151" t="s">
        <v>84</v>
      </c>
      <c r="B486" s="152"/>
      <c r="C486" s="153" t="s">
        <v>4185</v>
      </c>
      <c r="D486" s="153"/>
      <c r="E486" s="153"/>
      <c r="F486" s="153"/>
      <c r="G486" s="57" t="s">
        <v>5166</v>
      </c>
      <c r="H486" s="57" t="s">
        <v>5167</v>
      </c>
      <c r="I486" s="153"/>
      <c r="J486" s="153"/>
      <c r="K486" s="153"/>
      <c r="L486" s="154">
        <v>0</v>
      </c>
      <c r="M486" s="153" t="s">
        <v>153</v>
      </c>
      <c r="N486" s="153" t="s">
        <v>80</v>
      </c>
      <c r="O486" s="153"/>
    </row>
    <row r="487" spans="1:15" x14ac:dyDescent="0.25">
      <c r="A487" s="151" t="s">
        <v>84</v>
      </c>
      <c r="B487" s="152"/>
      <c r="C487" s="153" t="s">
        <v>4157</v>
      </c>
      <c r="D487" s="153"/>
      <c r="E487" s="153"/>
      <c r="F487" s="153"/>
      <c r="G487" s="57" t="s">
        <v>5110</v>
      </c>
      <c r="H487" s="57" t="s">
        <v>5111</v>
      </c>
      <c r="I487" s="153"/>
      <c r="J487" s="153"/>
      <c r="K487" s="153"/>
      <c r="L487" s="154">
        <v>0</v>
      </c>
      <c r="M487" s="153" t="s">
        <v>6351</v>
      </c>
      <c r="N487" s="153" t="s">
        <v>80</v>
      </c>
      <c r="O487" s="153"/>
    </row>
    <row r="488" spans="1:15" x14ac:dyDescent="0.25">
      <c r="A488" s="151" t="s">
        <v>84</v>
      </c>
      <c r="B488" s="152"/>
      <c r="C488" s="153" t="s">
        <v>4184</v>
      </c>
      <c r="D488" s="153"/>
      <c r="E488" s="153"/>
      <c r="F488" s="153"/>
      <c r="G488" s="57" t="s">
        <v>5164</v>
      </c>
      <c r="H488" s="57" t="s">
        <v>5165</v>
      </c>
      <c r="I488" s="153"/>
      <c r="J488" s="153"/>
      <c r="K488" s="153"/>
      <c r="L488" s="154">
        <v>0</v>
      </c>
      <c r="M488" s="153" t="s">
        <v>153</v>
      </c>
      <c r="N488" s="153" t="s">
        <v>80</v>
      </c>
      <c r="O488" s="153"/>
    </row>
    <row r="489" spans="1:15" x14ac:dyDescent="0.25">
      <c r="A489" s="151" t="s">
        <v>84</v>
      </c>
      <c r="B489" s="152"/>
      <c r="C489" s="153" t="s">
        <v>4186</v>
      </c>
      <c r="D489" s="153"/>
      <c r="E489" s="153"/>
      <c r="F489" s="153"/>
      <c r="G489" s="57" t="s">
        <v>5168</v>
      </c>
      <c r="H489" s="57" t="s">
        <v>5169</v>
      </c>
      <c r="I489" s="153"/>
      <c r="J489" s="153"/>
      <c r="K489" s="153"/>
      <c r="L489" s="154">
        <v>0</v>
      </c>
      <c r="M489" s="153" t="s">
        <v>153</v>
      </c>
      <c r="N489" s="153" t="s">
        <v>80</v>
      </c>
      <c r="O489" s="153"/>
    </row>
    <row r="490" spans="1:15" x14ac:dyDescent="0.25">
      <c r="A490" s="151" t="s">
        <v>84</v>
      </c>
      <c r="B490" s="152"/>
      <c r="C490" s="153" t="s">
        <v>4187</v>
      </c>
      <c r="D490" s="153"/>
      <c r="E490" s="153"/>
      <c r="F490" s="153"/>
      <c r="G490" s="57" t="s">
        <v>5170</v>
      </c>
      <c r="H490" s="57" t="s">
        <v>5171</v>
      </c>
      <c r="I490" s="153"/>
      <c r="J490" s="153"/>
      <c r="K490" s="153"/>
      <c r="L490" s="154">
        <v>0</v>
      </c>
      <c r="M490" s="153" t="s">
        <v>153</v>
      </c>
      <c r="N490" s="153" t="s">
        <v>80</v>
      </c>
      <c r="O490" s="153"/>
    </row>
    <row r="491" spans="1:15" x14ac:dyDescent="0.25">
      <c r="A491" s="151" t="s">
        <v>84</v>
      </c>
      <c r="B491" s="152"/>
      <c r="C491" s="153" t="s">
        <v>4188</v>
      </c>
      <c r="D491" s="153"/>
      <c r="E491" s="153"/>
      <c r="F491" s="153"/>
      <c r="G491" s="57" t="s">
        <v>5172</v>
      </c>
      <c r="H491" s="57" t="s">
        <v>5173</v>
      </c>
      <c r="I491" s="153"/>
      <c r="J491" s="153"/>
      <c r="K491" s="153"/>
      <c r="L491" s="154">
        <v>0</v>
      </c>
      <c r="M491" s="153" t="s">
        <v>153</v>
      </c>
      <c r="N491" s="153" t="s">
        <v>80</v>
      </c>
      <c r="O491" s="153"/>
    </row>
    <row r="492" spans="1:15" x14ac:dyDescent="0.25">
      <c r="A492" s="151" t="s">
        <v>84</v>
      </c>
      <c r="B492" s="152"/>
      <c r="C492" s="153" t="s">
        <v>4189</v>
      </c>
      <c r="D492" s="153"/>
      <c r="E492" s="153"/>
      <c r="F492" s="153"/>
      <c r="G492" s="57" t="s">
        <v>5174</v>
      </c>
      <c r="H492" s="57" t="s">
        <v>5175</v>
      </c>
      <c r="I492" s="153"/>
      <c r="J492" s="153"/>
      <c r="K492" s="153"/>
      <c r="L492" s="154">
        <v>0</v>
      </c>
      <c r="M492" s="153" t="s">
        <v>153</v>
      </c>
      <c r="N492" s="153" t="s">
        <v>80</v>
      </c>
      <c r="O492" s="153"/>
    </row>
    <row r="493" spans="1:15" x14ac:dyDescent="0.25">
      <c r="A493" s="151" t="s">
        <v>84</v>
      </c>
      <c r="B493" s="152"/>
      <c r="C493" s="153" t="s">
        <v>4190</v>
      </c>
      <c r="D493" s="153"/>
      <c r="E493" s="153"/>
      <c r="F493" s="153"/>
      <c r="G493" s="57" t="s">
        <v>5176</v>
      </c>
      <c r="H493" s="57" t="s">
        <v>5177</v>
      </c>
      <c r="I493" s="153"/>
      <c r="J493" s="153"/>
      <c r="K493" s="153"/>
      <c r="L493" s="154">
        <v>0</v>
      </c>
      <c r="M493" s="153" t="s">
        <v>153</v>
      </c>
      <c r="N493" s="153" t="s">
        <v>80</v>
      </c>
      <c r="O493" s="153"/>
    </row>
    <row r="494" spans="1:15" x14ac:dyDescent="0.25">
      <c r="A494" s="155" t="s">
        <v>4323</v>
      </c>
      <c r="B494" s="124">
        <v>0</v>
      </c>
      <c r="C494" s="125" t="s">
        <v>93</v>
      </c>
      <c r="D494" s="125" t="s">
        <v>1927</v>
      </c>
      <c r="E494" s="126" t="s">
        <v>2139</v>
      </c>
      <c r="F494" s="125" t="s">
        <v>2187</v>
      </c>
      <c r="G494" s="125" t="s">
        <v>277</v>
      </c>
      <c r="H494" s="125" t="s">
        <v>278</v>
      </c>
      <c r="I494" s="125" t="s">
        <v>2320</v>
      </c>
      <c r="J494" s="127"/>
      <c r="K494" s="124">
        <v>1</v>
      </c>
      <c r="L494" s="124" t="s">
        <v>605</v>
      </c>
      <c r="M494" s="125" t="s">
        <v>91</v>
      </c>
      <c r="N494" s="155" t="s">
        <v>80</v>
      </c>
      <c r="O494" s="155"/>
    </row>
    <row r="495" spans="1:15" x14ac:dyDescent="0.25">
      <c r="A495" s="151" t="s">
        <v>4323</v>
      </c>
      <c r="B495" s="152">
        <v>1</v>
      </c>
      <c r="C495" s="153" t="s">
        <v>4144</v>
      </c>
      <c r="D495" s="61" t="s">
        <v>6776</v>
      </c>
      <c r="E495" s="77" t="s">
        <v>1595</v>
      </c>
      <c r="F495" s="61" t="s">
        <v>2227</v>
      </c>
      <c r="G495" s="57" t="s">
        <v>4144</v>
      </c>
      <c r="H495" s="60"/>
      <c r="I495" s="153"/>
      <c r="J495" s="153"/>
      <c r="K495" s="153"/>
      <c r="L495" s="154" t="s">
        <v>605</v>
      </c>
      <c r="M495" s="153"/>
      <c r="N495" s="153" t="s">
        <v>80</v>
      </c>
      <c r="O495" s="153"/>
    </row>
    <row r="496" spans="1:15" x14ac:dyDescent="0.25">
      <c r="A496" s="151" t="s">
        <v>4323</v>
      </c>
      <c r="B496" s="152">
        <v>2</v>
      </c>
      <c r="C496" s="153" t="s">
        <v>4145</v>
      </c>
      <c r="D496" s="61" t="s">
        <v>6775</v>
      </c>
      <c r="E496" s="153"/>
      <c r="F496" s="153"/>
      <c r="G496" s="57" t="s">
        <v>465</v>
      </c>
      <c r="H496" s="57" t="s">
        <v>5084</v>
      </c>
      <c r="I496" s="75" t="s">
        <v>2401</v>
      </c>
      <c r="J496" s="153"/>
      <c r="K496" s="153"/>
      <c r="L496" s="154" t="s">
        <v>605</v>
      </c>
      <c r="M496" s="153" t="s">
        <v>100</v>
      </c>
      <c r="N496" s="153" t="s">
        <v>80</v>
      </c>
      <c r="O496" s="153"/>
    </row>
    <row r="497" spans="1:15" x14ac:dyDescent="0.25">
      <c r="A497" s="155" t="s">
        <v>4323</v>
      </c>
      <c r="B497" s="124">
        <v>3</v>
      </c>
      <c r="C497" s="125" t="s">
        <v>6443</v>
      </c>
      <c r="D497" s="125" t="s">
        <v>6746</v>
      </c>
      <c r="E497" s="126"/>
      <c r="F497" s="125"/>
      <c r="G497" s="125"/>
      <c r="H497" s="125"/>
      <c r="I497" s="125"/>
      <c r="J497" s="127"/>
      <c r="K497" s="124"/>
      <c r="L497" s="128" t="s">
        <v>605</v>
      </c>
      <c r="M497" s="125" t="s">
        <v>91</v>
      </c>
      <c r="N497" s="155" t="s">
        <v>80</v>
      </c>
      <c r="O497" s="155"/>
    </row>
    <row r="498" spans="1:15" x14ac:dyDescent="0.25">
      <c r="A498" s="155" t="s">
        <v>4323</v>
      </c>
      <c r="B498" s="124">
        <v>4</v>
      </c>
      <c r="C498" s="125" t="s">
        <v>116</v>
      </c>
      <c r="D498" s="125" t="s">
        <v>6747</v>
      </c>
      <c r="E498" s="126"/>
      <c r="F498" s="125"/>
      <c r="G498" s="125"/>
      <c r="H498" s="125"/>
      <c r="I498" s="125"/>
      <c r="J498" s="127"/>
      <c r="K498" s="124"/>
      <c r="L498" s="128" t="s">
        <v>605</v>
      </c>
      <c r="M498" s="125" t="s">
        <v>100</v>
      </c>
      <c r="N498" s="155" t="s">
        <v>80</v>
      </c>
      <c r="O498" s="155"/>
    </row>
    <row r="499" spans="1:15" x14ac:dyDescent="0.25">
      <c r="A499" s="155" t="s">
        <v>4323</v>
      </c>
      <c r="B499" s="124">
        <v>5</v>
      </c>
      <c r="C499" s="125" t="s">
        <v>6946</v>
      </c>
      <c r="D499" s="127" t="s">
        <v>6778</v>
      </c>
      <c r="E499" s="126"/>
      <c r="F499" s="125"/>
      <c r="G499" s="125"/>
      <c r="H499" s="125"/>
      <c r="I499" s="125"/>
      <c r="J499" s="127"/>
      <c r="K499" s="124"/>
      <c r="L499" s="128" t="s">
        <v>605</v>
      </c>
      <c r="M499" s="125" t="s">
        <v>100</v>
      </c>
      <c r="N499" s="155" t="s">
        <v>80</v>
      </c>
      <c r="O499" s="155"/>
    </row>
    <row r="500" spans="1:15" x14ac:dyDescent="0.25">
      <c r="A500" s="151" t="s">
        <v>4323</v>
      </c>
      <c r="B500" s="152">
        <v>12</v>
      </c>
      <c r="C500" s="153" t="s">
        <v>4328</v>
      </c>
      <c r="D500" s="153"/>
      <c r="E500" s="153"/>
      <c r="F500" s="153"/>
      <c r="G500" s="57" t="s">
        <v>5445</v>
      </c>
      <c r="H500" s="57" t="s">
        <v>5446</v>
      </c>
      <c r="I500" s="153"/>
      <c r="J500" s="153"/>
      <c r="K500" s="153"/>
      <c r="L500" s="154">
        <v>0</v>
      </c>
      <c r="M500" s="153" t="s">
        <v>3011</v>
      </c>
      <c r="N500" s="153" t="s">
        <v>80</v>
      </c>
      <c r="O500" s="153"/>
    </row>
    <row r="501" spans="1:15" x14ac:dyDescent="0.25">
      <c r="A501" s="151" t="s">
        <v>4323</v>
      </c>
      <c r="B501" s="152">
        <v>12</v>
      </c>
      <c r="C501" s="153" t="s">
        <v>4324</v>
      </c>
      <c r="D501" s="153"/>
      <c r="E501" s="153"/>
      <c r="F501" s="153"/>
      <c r="G501" s="57" t="s">
        <v>5437</v>
      </c>
      <c r="H501" s="57" t="s">
        <v>5438</v>
      </c>
      <c r="I501" s="153"/>
      <c r="J501" s="153"/>
      <c r="K501" s="153"/>
      <c r="L501" s="154">
        <v>0</v>
      </c>
      <c r="M501" s="153" t="s">
        <v>249</v>
      </c>
      <c r="N501" s="153" t="s">
        <v>80</v>
      </c>
      <c r="O501" s="153"/>
    </row>
    <row r="502" spans="1:15" x14ac:dyDescent="0.25">
      <c r="A502" s="151" t="s">
        <v>4323</v>
      </c>
      <c r="B502" s="152">
        <v>12</v>
      </c>
      <c r="C502" s="153" t="s">
        <v>4327</v>
      </c>
      <c r="D502" s="153"/>
      <c r="E502" s="153"/>
      <c r="F502" s="153"/>
      <c r="G502" s="57" t="s">
        <v>5443</v>
      </c>
      <c r="H502" s="57" t="s">
        <v>5444</v>
      </c>
      <c r="I502" s="153"/>
      <c r="J502" s="153"/>
      <c r="K502" s="153"/>
      <c r="L502" s="154">
        <v>0</v>
      </c>
      <c r="M502" s="153" t="s">
        <v>235</v>
      </c>
      <c r="N502" s="153" t="s">
        <v>80</v>
      </c>
      <c r="O502" s="153"/>
    </row>
    <row r="503" spans="1:15" x14ac:dyDescent="0.25">
      <c r="A503" s="151" t="s">
        <v>4323</v>
      </c>
      <c r="B503" s="152">
        <v>12</v>
      </c>
      <c r="C503" s="153" t="s">
        <v>4325</v>
      </c>
      <c r="D503" s="153"/>
      <c r="E503" s="153"/>
      <c r="F503" s="153"/>
      <c r="G503" s="57" t="s">
        <v>5439</v>
      </c>
      <c r="H503" s="57" t="s">
        <v>5440</v>
      </c>
      <c r="I503" s="153"/>
      <c r="J503" s="153"/>
      <c r="K503" s="153"/>
      <c r="L503" s="154">
        <v>0</v>
      </c>
      <c r="M503" s="153" t="s">
        <v>235</v>
      </c>
      <c r="N503" s="153" t="s">
        <v>80</v>
      </c>
      <c r="O503" s="153"/>
    </row>
    <row r="504" spans="1:15" x14ac:dyDescent="0.25">
      <c r="A504" s="151" t="s">
        <v>4323</v>
      </c>
      <c r="B504" s="152">
        <v>12</v>
      </c>
      <c r="C504" s="153" t="s">
        <v>4326</v>
      </c>
      <c r="D504" s="153"/>
      <c r="E504" s="153"/>
      <c r="F504" s="153"/>
      <c r="G504" s="57" t="s">
        <v>5441</v>
      </c>
      <c r="H504" s="57" t="s">
        <v>5442</v>
      </c>
      <c r="I504" s="153"/>
      <c r="J504" s="153"/>
      <c r="K504" s="153"/>
      <c r="L504" s="154">
        <v>0</v>
      </c>
      <c r="M504" s="153" t="s">
        <v>235</v>
      </c>
      <c r="N504" s="153" t="s">
        <v>80</v>
      </c>
      <c r="O504" s="153"/>
    </row>
    <row r="505" spans="1:15" x14ac:dyDescent="0.25">
      <c r="A505" s="155" t="s">
        <v>86</v>
      </c>
      <c r="B505" s="124">
        <v>0</v>
      </c>
      <c r="C505" s="125" t="s">
        <v>93</v>
      </c>
      <c r="D505" s="125" t="s">
        <v>1927</v>
      </c>
      <c r="E505" s="126" t="s">
        <v>2139</v>
      </c>
      <c r="F505" s="125" t="s">
        <v>2187</v>
      </c>
      <c r="G505" s="125" t="s">
        <v>277</v>
      </c>
      <c r="H505" s="125" t="s">
        <v>278</v>
      </c>
      <c r="I505" s="125" t="s">
        <v>2320</v>
      </c>
      <c r="J505" s="127"/>
      <c r="K505" s="124">
        <v>1</v>
      </c>
      <c r="L505" s="124" t="s">
        <v>605</v>
      </c>
      <c r="M505" s="125" t="s">
        <v>91</v>
      </c>
      <c r="N505" s="155" t="s">
        <v>80</v>
      </c>
      <c r="O505" s="155"/>
    </row>
    <row r="506" spans="1:15" x14ac:dyDescent="0.25">
      <c r="A506" s="151" t="s">
        <v>86</v>
      </c>
      <c r="B506" s="152">
        <v>1</v>
      </c>
      <c r="C506" s="153" t="s">
        <v>4144</v>
      </c>
      <c r="D506" s="61" t="s">
        <v>6776</v>
      </c>
      <c r="E506" s="77" t="s">
        <v>1595</v>
      </c>
      <c r="F506" s="61" t="s">
        <v>2227</v>
      </c>
      <c r="G506" s="57" t="s">
        <v>4144</v>
      </c>
      <c r="H506" s="60"/>
      <c r="I506" s="153"/>
      <c r="J506" s="153"/>
      <c r="K506" s="153"/>
      <c r="L506" s="154" t="s">
        <v>605</v>
      </c>
      <c r="M506" s="153"/>
      <c r="N506" s="153" t="s">
        <v>80</v>
      </c>
      <c r="O506" s="153"/>
    </row>
    <row r="507" spans="1:15" x14ac:dyDescent="0.25">
      <c r="A507" s="151" t="s">
        <v>86</v>
      </c>
      <c r="B507" s="152">
        <v>2</v>
      </c>
      <c r="C507" s="153" t="s">
        <v>4145</v>
      </c>
      <c r="D507" s="61" t="s">
        <v>6775</v>
      </c>
      <c r="E507" s="153"/>
      <c r="F507" s="153"/>
      <c r="G507" s="57" t="s">
        <v>465</v>
      </c>
      <c r="H507" s="57" t="s">
        <v>5084</v>
      </c>
      <c r="I507" s="75" t="s">
        <v>2401</v>
      </c>
      <c r="J507" s="153"/>
      <c r="K507" s="153"/>
      <c r="L507" s="154" t="s">
        <v>605</v>
      </c>
      <c r="M507" s="153" t="s">
        <v>100</v>
      </c>
      <c r="N507" s="153" t="s">
        <v>80</v>
      </c>
      <c r="O507" s="153"/>
    </row>
    <row r="508" spans="1:15" x14ac:dyDescent="0.25">
      <c r="A508" s="155" t="s">
        <v>86</v>
      </c>
      <c r="B508" s="124">
        <v>3</v>
      </c>
      <c r="C508" s="125" t="s">
        <v>6443</v>
      </c>
      <c r="D508" s="125" t="s">
        <v>6746</v>
      </c>
      <c r="E508" s="126"/>
      <c r="F508" s="125"/>
      <c r="G508" s="125"/>
      <c r="H508" s="125"/>
      <c r="I508" s="125"/>
      <c r="J508" s="127"/>
      <c r="K508" s="124"/>
      <c r="L508" s="128" t="s">
        <v>605</v>
      </c>
      <c r="M508" s="125" t="s">
        <v>91</v>
      </c>
      <c r="N508" s="155" t="s">
        <v>80</v>
      </c>
      <c r="O508" s="155"/>
    </row>
    <row r="509" spans="1:15" x14ac:dyDescent="0.25">
      <c r="A509" s="155" t="s">
        <v>86</v>
      </c>
      <c r="B509" s="124">
        <v>4</v>
      </c>
      <c r="C509" s="125" t="s">
        <v>116</v>
      </c>
      <c r="D509" s="125" t="s">
        <v>6747</v>
      </c>
      <c r="E509" s="126"/>
      <c r="F509" s="125"/>
      <c r="G509" s="125"/>
      <c r="H509" s="125"/>
      <c r="I509" s="125"/>
      <c r="J509" s="127"/>
      <c r="K509" s="124"/>
      <c r="L509" s="128" t="s">
        <v>605</v>
      </c>
      <c r="M509" s="125" t="s">
        <v>100</v>
      </c>
      <c r="N509" s="155" t="s">
        <v>80</v>
      </c>
      <c r="O509" s="155"/>
    </row>
    <row r="510" spans="1:15" x14ac:dyDescent="0.25">
      <c r="A510" s="155" t="s">
        <v>86</v>
      </c>
      <c r="B510" s="124">
        <v>5</v>
      </c>
      <c r="C510" s="125" t="s">
        <v>6946</v>
      </c>
      <c r="D510" s="127" t="s">
        <v>6778</v>
      </c>
      <c r="E510" s="126"/>
      <c r="F510" s="125"/>
      <c r="G510" s="125"/>
      <c r="H510" s="125"/>
      <c r="I510" s="125"/>
      <c r="J510" s="127"/>
      <c r="K510" s="124"/>
      <c r="L510" s="128" t="s">
        <v>605</v>
      </c>
      <c r="M510" s="125" t="s">
        <v>100</v>
      </c>
      <c r="N510" s="155" t="s">
        <v>80</v>
      </c>
      <c r="O510" s="155"/>
    </row>
    <row r="511" spans="1:15" x14ac:dyDescent="0.25">
      <c r="A511" s="151" t="s">
        <v>86</v>
      </c>
      <c r="B511" s="115">
        <v>6</v>
      </c>
      <c r="C511" s="61" t="s">
        <v>265</v>
      </c>
      <c r="D511" s="61" t="s">
        <v>3380</v>
      </c>
      <c r="E511" s="77" t="s">
        <v>1601</v>
      </c>
      <c r="F511" s="61" t="s">
        <v>2231</v>
      </c>
      <c r="G511" s="61" t="s">
        <v>477</v>
      </c>
      <c r="H511" s="61" t="s">
        <v>478</v>
      </c>
      <c r="I511" s="75" t="s">
        <v>2405</v>
      </c>
      <c r="J511" s="63"/>
      <c r="K511" s="84">
        <v>0</v>
      </c>
      <c r="L511" s="85">
        <v>0</v>
      </c>
      <c r="M511" s="61" t="s">
        <v>163</v>
      </c>
      <c r="N511" s="153" t="s">
        <v>80</v>
      </c>
      <c r="O511" s="153"/>
    </row>
    <row r="512" spans="1:15" x14ac:dyDescent="0.25">
      <c r="A512" s="151" t="s">
        <v>86</v>
      </c>
      <c r="B512" s="115">
        <v>7</v>
      </c>
      <c r="C512" s="61" t="s">
        <v>264</v>
      </c>
      <c r="D512" s="61" t="s">
        <v>3381</v>
      </c>
      <c r="E512" s="77" t="s">
        <v>1600</v>
      </c>
      <c r="F512" s="61" t="s">
        <v>2285</v>
      </c>
      <c r="G512" s="61" t="s">
        <v>475</v>
      </c>
      <c r="H512" s="61" t="s">
        <v>476</v>
      </c>
      <c r="I512" s="75" t="s">
        <v>2481</v>
      </c>
      <c r="J512" s="63"/>
      <c r="K512" s="84">
        <v>0</v>
      </c>
      <c r="L512" s="85">
        <v>0</v>
      </c>
      <c r="M512" s="61" t="s">
        <v>262</v>
      </c>
      <c r="N512" s="153" t="s">
        <v>80</v>
      </c>
      <c r="O512" s="153"/>
    </row>
    <row r="513" spans="1:15" x14ac:dyDescent="0.25">
      <c r="A513" s="151" t="s">
        <v>86</v>
      </c>
      <c r="B513" s="115">
        <v>8</v>
      </c>
      <c r="C513" s="61" t="s">
        <v>263</v>
      </c>
      <c r="D513" s="61" t="s">
        <v>2053</v>
      </c>
      <c r="E513" s="77" t="s">
        <v>1599</v>
      </c>
      <c r="F513" s="61" t="s">
        <v>2284</v>
      </c>
      <c r="G513" s="61" t="s">
        <v>473</v>
      </c>
      <c r="H513" s="61" t="s">
        <v>474</v>
      </c>
      <c r="I513" s="75" t="s">
        <v>2480</v>
      </c>
      <c r="J513" s="63"/>
      <c r="K513" s="84">
        <v>0</v>
      </c>
      <c r="L513" s="85">
        <v>0</v>
      </c>
      <c r="M513" s="61" t="s">
        <v>262</v>
      </c>
      <c r="N513" s="153" t="s">
        <v>80</v>
      </c>
      <c r="O513" s="153"/>
    </row>
    <row r="514" spans="1:15" x14ac:dyDescent="0.25">
      <c r="A514" s="151" t="s">
        <v>86</v>
      </c>
      <c r="B514" s="152">
        <v>9</v>
      </c>
      <c r="C514" s="153" t="s">
        <v>4196</v>
      </c>
      <c r="D514" s="153"/>
      <c r="E514" s="153"/>
      <c r="F514" s="153"/>
      <c r="G514" s="57" t="s">
        <v>5190</v>
      </c>
      <c r="H514" s="57" t="s">
        <v>5191</v>
      </c>
      <c r="I514" s="153"/>
      <c r="J514" s="153"/>
      <c r="K514" s="153"/>
      <c r="L514" s="154">
        <v>0</v>
      </c>
      <c r="M514" s="153" t="s">
        <v>163</v>
      </c>
      <c r="N514" s="153" t="s">
        <v>80</v>
      </c>
      <c r="O514" s="153"/>
    </row>
    <row r="515" spans="1:15" s="37" customFormat="1" x14ac:dyDescent="0.25">
      <c r="A515" s="151" t="s">
        <v>86</v>
      </c>
      <c r="B515" s="152">
        <v>9</v>
      </c>
      <c r="C515" s="153" t="s">
        <v>4197</v>
      </c>
      <c r="D515" s="153"/>
      <c r="E515" s="153"/>
      <c r="F515" s="153"/>
      <c r="G515" s="57" t="s">
        <v>5192</v>
      </c>
      <c r="H515" s="57" t="s">
        <v>5193</v>
      </c>
      <c r="I515" s="153"/>
      <c r="J515" s="153"/>
      <c r="K515" s="153"/>
      <c r="L515" s="154">
        <v>0</v>
      </c>
      <c r="M515" s="153" t="s">
        <v>163</v>
      </c>
      <c r="N515" s="153" t="s">
        <v>80</v>
      </c>
      <c r="O515" s="153"/>
    </row>
    <row r="516" spans="1:15" x14ac:dyDescent="0.25">
      <c r="A516" s="151" t="s">
        <v>86</v>
      </c>
      <c r="B516" s="152">
        <v>9</v>
      </c>
      <c r="C516" s="153" t="s">
        <v>4195</v>
      </c>
      <c r="D516" s="153"/>
      <c r="E516" s="153"/>
      <c r="F516" s="153"/>
      <c r="G516" s="57" t="s">
        <v>5188</v>
      </c>
      <c r="H516" s="57" t="s">
        <v>5189</v>
      </c>
      <c r="I516" s="153"/>
      <c r="J516" s="153"/>
      <c r="K516" s="153"/>
      <c r="L516" s="154">
        <v>0</v>
      </c>
      <c r="M516" s="153" t="s">
        <v>262</v>
      </c>
      <c r="N516" s="153" t="s">
        <v>80</v>
      </c>
      <c r="O516" s="153"/>
    </row>
    <row r="517" spans="1:15" x14ac:dyDescent="0.25">
      <c r="A517" s="151" t="s">
        <v>86</v>
      </c>
      <c r="B517" s="152">
        <v>9</v>
      </c>
      <c r="C517" s="153" t="s">
        <v>4194</v>
      </c>
      <c r="D517" s="153"/>
      <c r="E517" s="153"/>
      <c r="F517" s="153"/>
      <c r="G517" s="57" t="s">
        <v>5186</v>
      </c>
      <c r="H517" s="57" t="s">
        <v>5187</v>
      </c>
      <c r="I517" s="153"/>
      <c r="J517" s="153"/>
      <c r="K517" s="153"/>
      <c r="L517" s="154">
        <v>0</v>
      </c>
      <c r="M517" s="153" t="s">
        <v>262</v>
      </c>
      <c r="N517" s="153" t="s">
        <v>80</v>
      </c>
      <c r="O517" s="153"/>
    </row>
    <row r="518" spans="1:15" x14ac:dyDescent="0.25">
      <c r="A518" s="151" t="s">
        <v>86</v>
      </c>
      <c r="B518" s="152">
        <v>10</v>
      </c>
      <c r="C518" s="153" t="s">
        <v>4198</v>
      </c>
      <c r="D518" s="153"/>
      <c r="E518" s="153"/>
      <c r="F518" s="153"/>
      <c r="G518" s="57" t="s">
        <v>5194</v>
      </c>
      <c r="H518" s="57" t="s">
        <v>5195</v>
      </c>
      <c r="I518" s="153"/>
      <c r="J518" s="153"/>
      <c r="K518" s="153"/>
      <c r="L518" s="154">
        <v>0</v>
      </c>
      <c r="M518" s="153" t="s">
        <v>266</v>
      </c>
      <c r="N518" s="153" t="s">
        <v>80</v>
      </c>
      <c r="O518" s="153"/>
    </row>
    <row r="519" spans="1:15" x14ac:dyDescent="0.25">
      <c r="A519" s="151" t="s">
        <v>86</v>
      </c>
      <c r="B519" s="152"/>
      <c r="C519" s="153" t="s">
        <v>4268</v>
      </c>
      <c r="D519" s="153"/>
      <c r="E519" s="153"/>
      <c r="F519" s="153"/>
      <c r="G519" s="57" t="s">
        <v>5334</v>
      </c>
      <c r="H519" s="57" t="s">
        <v>5335</v>
      </c>
      <c r="I519" s="153"/>
      <c r="J519" s="153"/>
      <c r="K519" s="153"/>
      <c r="L519" s="154">
        <v>0</v>
      </c>
      <c r="M519" s="153" t="s">
        <v>262</v>
      </c>
      <c r="N519" s="153" t="s">
        <v>80</v>
      </c>
      <c r="O519" s="153"/>
    </row>
    <row r="520" spans="1:15" x14ac:dyDescent="0.25">
      <c r="A520" s="151" t="s">
        <v>86</v>
      </c>
      <c r="B520" s="152"/>
      <c r="C520" s="153" t="s">
        <v>4218</v>
      </c>
      <c r="D520" s="153"/>
      <c r="E520" s="153"/>
      <c r="F520" s="153"/>
      <c r="G520" s="57" t="s">
        <v>5234</v>
      </c>
      <c r="H520" s="57" t="s">
        <v>5235</v>
      </c>
      <c r="I520" s="153"/>
      <c r="J520" s="153"/>
      <c r="K520" s="153"/>
      <c r="L520" s="154">
        <v>0</v>
      </c>
      <c r="M520" s="153" t="s">
        <v>262</v>
      </c>
      <c r="N520" s="153" t="s">
        <v>80</v>
      </c>
      <c r="O520" s="153"/>
    </row>
    <row r="521" spans="1:15" x14ac:dyDescent="0.25">
      <c r="A521" s="151" t="s">
        <v>86</v>
      </c>
      <c r="B521" s="152"/>
      <c r="C521" s="153" t="s">
        <v>4220</v>
      </c>
      <c r="D521" s="153"/>
      <c r="E521" s="153"/>
      <c r="F521" s="153"/>
      <c r="G521" s="57" t="s">
        <v>5238</v>
      </c>
      <c r="H521" s="57" t="s">
        <v>5239</v>
      </c>
      <c r="I521" s="153"/>
      <c r="J521" s="153"/>
      <c r="K521" s="153"/>
      <c r="L521" s="154">
        <v>0</v>
      </c>
      <c r="M521" s="153" t="s">
        <v>262</v>
      </c>
      <c r="N521" s="153" t="s">
        <v>80</v>
      </c>
      <c r="O521" s="153"/>
    </row>
    <row r="522" spans="1:15" x14ac:dyDescent="0.25">
      <c r="A522" s="151" t="s">
        <v>86</v>
      </c>
      <c r="B522" s="152"/>
      <c r="C522" s="153" t="s">
        <v>4236</v>
      </c>
      <c r="D522" s="153"/>
      <c r="E522" s="153"/>
      <c r="F522" s="153"/>
      <c r="G522" s="58" t="s">
        <v>5270</v>
      </c>
      <c r="H522" s="58" t="s">
        <v>5271</v>
      </c>
      <c r="I522" s="153"/>
      <c r="J522" s="153"/>
      <c r="K522" s="153"/>
      <c r="L522" s="154">
        <v>0</v>
      </c>
      <c r="M522" s="153" t="s">
        <v>139</v>
      </c>
      <c r="N522" s="153" t="s">
        <v>80</v>
      </c>
      <c r="O522" s="153"/>
    </row>
    <row r="523" spans="1:15" x14ac:dyDescent="0.25">
      <c r="A523" s="151" t="s">
        <v>86</v>
      </c>
      <c r="B523" s="152"/>
      <c r="C523" s="153" t="s">
        <v>4238</v>
      </c>
      <c r="D523" s="153"/>
      <c r="E523" s="153"/>
      <c r="F523" s="153"/>
      <c r="G523" s="58" t="s">
        <v>5274</v>
      </c>
      <c r="H523" s="58" t="s">
        <v>5275</v>
      </c>
      <c r="I523" s="153"/>
      <c r="J523" s="153"/>
      <c r="K523" s="153"/>
      <c r="L523" s="154">
        <v>0</v>
      </c>
      <c r="M523" s="153" t="s">
        <v>139</v>
      </c>
      <c r="N523" s="153" t="s">
        <v>80</v>
      </c>
      <c r="O523" s="153"/>
    </row>
    <row r="524" spans="1:15" x14ac:dyDescent="0.25">
      <c r="A524" s="151" t="s">
        <v>86</v>
      </c>
      <c r="B524" s="152"/>
      <c r="C524" s="153" t="s">
        <v>4237</v>
      </c>
      <c r="D524" s="153"/>
      <c r="E524" s="153"/>
      <c r="F524" s="153"/>
      <c r="G524" s="58" t="s">
        <v>5272</v>
      </c>
      <c r="H524" s="58" t="s">
        <v>5273</v>
      </c>
      <c r="I524" s="153"/>
      <c r="J524" s="153"/>
      <c r="K524" s="153"/>
      <c r="L524" s="154">
        <v>0</v>
      </c>
      <c r="M524" s="153" t="s">
        <v>139</v>
      </c>
      <c r="N524" s="153" t="s">
        <v>80</v>
      </c>
      <c r="O524" s="153"/>
    </row>
    <row r="525" spans="1:15" x14ac:dyDescent="0.25">
      <c r="A525" s="151" t="s">
        <v>86</v>
      </c>
      <c r="B525" s="152"/>
      <c r="C525" s="153" t="s">
        <v>4239</v>
      </c>
      <c r="D525" s="153"/>
      <c r="E525" s="153"/>
      <c r="F525" s="153"/>
      <c r="G525" s="58" t="s">
        <v>5276</v>
      </c>
      <c r="H525" s="58" t="s">
        <v>5277</v>
      </c>
      <c r="I525" s="153"/>
      <c r="J525" s="153"/>
      <c r="K525" s="153"/>
      <c r="L525" s="154">
        <v>0</v>
      </c>
      <c r="M525" s="153" t="s">
        <v>139</v>
      </c>
      <c r="N525" s="153" t="s">
        <v>80</v>
      </c>
      <c r="O525" s="153"/>
    </row>
    <row r="526" spans="1:15" x14ac:dyDescent="0.25">
      <c r="A526" s="151" t="s">
        <v>86</v>
      </c>
      <c r="B526" s="152"/>
      <c r="C526" s="153" t="s">
        <v>4240</v>
      </c>
      <c r="D526" s="153"/>
      <c r="E526" s="153"/>
      <c r="F526" s="153"/>
      <c r="G526" s="58" t="s">
        <v>5278</v>
      </c>
      <c r="H526" s="58" t="s">
        <v>5279</v>
      </c>
      <c r="I526" s="153"/>
      <c r="J526" s="153"/>
      <c r="K526" s="153"/>
      <c r="L526" s="154">
        <v>0</v>
      </c>
      <c r="M526" s="153" t="s">
        <v>139</v>
      </c>
      <c r="N526" s="153" t="s">
        <v>80</v>
      </c>
      <c r="O526" s="153"/>
    </row>
    <row r="527" spans="1:15" x14ac:dyDescent="0.25">
      <c r="A527" s="151" t="s">
        <v>86</v>
      </c>
      <c r="B527" s="152"/>
      <c r="C527" s="153" t="s">
        <v>4221</v>
      </c>
      <c r="D527" s="153"/>
      <c r="E527" s="153"/>
      <c r="F527" s="153"/>
      <c r="G527" s="57" t="s">
        <v>5240</v>
      </c>
      <c r="H527" s="57" t="s">
        <v>5241</v>
      </c>
      <c r="I527" s="153"/>
      <c r="J527" s="153"/>
      <c r="K527" s="153"/>
      <c r="L527" s="154">
        <v>0</v>
      </c>
      <c r="M527" s="153" t="s">
        <v>262</v>
      </c>
      <c r="N527" s="153" t="s">
        <v>80</v>
      </c>
      <c r="O527" s="153"/>
    </row>
    <row r="528" spans="1:15" x14ac:dyDescent="0.25">
      <c r="A528" s="151" t="s">
        <v>86</v>
      </c>
      <c r="B528" s="152"/>
      <c r="C528" s="153" t="s">
        <v>4264</v>
      </c>
      <c r="D528" s="153"/>
      <c r="E528" s="153"/>
      <c r="F528" s="153"/>
      <c r="G528" s="60" t="s">
        <v>5326</v>
      </c>
      <c r="H528" s="60" t="s">
        <v>5327</v>
      </c>
      <c r="I528" s="153"/>
      <c r="J528" s="153"/>
      <c r="K528" s="153"/>
      <c r="L528" s="154">
        <v>0</v>
      </c>
      <c r="M528" s="153" t="s">
        <v>195</v>
      </c>
      <c r="N528" s="153" t="s">
        <v>80</v>
      </c>
      <c r="O528" s="153"/>
    </row>
    <row r="529" spans="1:15" x14ac:dyDescent="0.25">
      <c r="A529" s="151" t="s">
        <v>86</v>
      </c>
      <c r="B529" s="152"/>
      <c r="C529" s="153" t="s">
        <v>4244</v>
      </c>
      <c r="D529" s="153"/>
      <c r="E529" s="153"/>
      <c r="F529" s="153"/>
      <c r="G529" s="58" t="s">
        <v>5286</v>
      </c>
      <c r="H529" s="58" t="s">
        <v>5287</v>
      </c>
      <c r="I529" s="153"/>
      <c r="J529" s="153"/>
      <c r="K529" s="153"/>
      <c r="L529" s="154">
        <v>0</v>
      </c>
      <c r="M529" s="153" t="s">
        <v>139</v>
      </c>
      <c r="N529" s="153" t="s">
        <v>80</v>
      </c>
      <c r="O529" s="153"/>
    </row>
    <row r="530" spans="1:15" x14ac:dyDescent="0.25">
      <c r="A530" s="151" t="s">
        <v>86</v>
      </c>
      <c r="B530" s="152"/>
      <c r="C530" s="153" t="s">
        <v>4245</v>
      </c>
      <c r="D530" s="153"/>
      <c r="E530" s="153"/>
      <c r="F530" s="153"/>
      <c r="G530" s="58" t="s">
        <v>5288</v>
      </c>
      <c r="H530" s="58" t="s">
        <v>5289</v>
      </c>
      <c r="I530" s="153"/>
      <c r="J530" s="153"/>
      <c r="K530" s="153"/>
      <c r="L530" s="154">
        <v>0</v>
      </c>
      <c r="M530" s="153" t="s">
        <v>139</v>
      </c>
      <c r="N530" s="153" t="s">
        <v>80</v>
      </c>
      <c r="O530" s="153"/>
    </row>
    <row r="531" spans="1:15" x14ac:dyDescent="0.25">
      <c r="A531" s="151" t="s">
        <v>86</v>
      </c>
      <c r="B531" s="152"/>
      <c r="C531" s="153" t="s">
        <v>4248</v>
      </c>
      <c r="D531" s="153"/>
      <c r="E531" s="153"/>
      <c r="F531" s="153"/>
      <c r="G531" s="57" t="s">
        <v>5294</v>
      </c>
      <c r="H531" s="57" t="s">
        <v>5295</v>
      </c>
      <c r="I531" s="153"/>
      <c r="J531" s="153"/>
      <c r="K531" s="153"/>
      <c r="L531" s="154">
        <v>0</v>
      </c>
      <c r="M531" s="153" t="s">
        <v>100</v>
      </c>
      <c r="N531" s="153" t="s">
        <v>80</v>
      </c>
      <c r="O531" s="153"/>
    </row>
    <row r="532" spans="1:15" x14ac:dyDescent="0.25">
      <c r="A532" s="151" t="s">
        <v>86</v>
      </c>
      <c r="B532" s="152"/>
      <c r="C532" s="153" t="s">
        <v>4253</v>
      </c>
      <c r="D532" s="153"/>
      <c r="E532" s="153"/>
      <c r="F532" s="153"/>
      <c r="G532" s="57" t="s">
        <v>5304</v>
      </c>
      <c r="H532" s="57" t="s">
        <v>5305</v>
      </c>
      <c r="I532" s="153"/>
      <c r="J532" s="153"/>
      <c r="K532" s="153"/>
      <c r="L532" s="154">
        <v>0</v>
      </c>
      <c r="M532" s="153" t="s">
        <v>163</v>
      </c>
      <c r="N532" s="153" t="s">
        <v>80</v>
      </c>
      <c r="O532" s="153"/>
    </row>
    <row r="533" spans="1:15" x14ac:dyDescent="0.25">
      <c r="A533" s="151" t="s">
        <v>86</v>
      </c>
      <c r="B533" s="152"/>
      <c r="C533" s="153" t="s">
        <v>4205</v>
      </c>
      <c r="D533" s="153"/>
      <c r="E533" s="153"/>
      <c r="F533" s="153"/>
      <c r="G533" s="57" t="s">
        <v>5208</v>
      </c>
      <c r="H533" s="57" t="s">
        <v>5209</v>
      </c>
      <c r="I533" s="153"/>
      <c r="J533" s="153"/>
      <c r="K533" s="153"/>
      <c r="L533" s="154">
        <v>0</v>
      </c>
      <c r="M533" s="153" t="s">
        <v>6352</v>
      </c>
      <c r="N533" s="153" t="s">
        <v>80</v>
      </c>
      <c r="O533" s="153"/>
    </row>
    <row r="534" spans="1:15" x14ac:dyDescent="0.25">
      <c r="A534" s="151" t="s">
        <v>86</v>
      </c>
      <c r="B534" s="152"/>
      <c r="C534" s="153" t="s">
        <v>4213</v>
      </c>
      <c r="D534" s="153"/>
      <c r="E534" s="153"/>
      <c r="F534" s="153"/>
      <c r="G534" s="57" t="s">
        <v>5224</v>
      </c>
      <c r="H534" s="57" t="s">
        <v>5225</v>
      </c>
      <c r="I534" s="153"/>
      <c r="J534" s="153"/>
      <c r="K534" s="153"/>
      <c r="L534" s="154">
        <v>0</v>
      </c>
      <c r="M534" s="153" t="s">
        <v>157</v>
      </c>
      <c r="N534" s="153" t="s">
        <v>80</v>
      </c>
      <c r="O534" s="153"/>
    </row>
    <row r="535" spans="1:15" x14ac:dyDescent="0.25">
      <c r="A535" s="151" t="s">
        <v>86</v>
      </c>
      <c r="B535" s="152"/>
      <c r="C535" s="153" t="s">
        <v>4212</v>
      </c>
      <c r="D535" s="153"/>
      <c r="E535" s="153"/>
      <c r="F535" s="153"/>
      <c r="G535" s="57" t="s">
        <v>5222</v>
      </c>
      <c r="H535" s="57" t="s">
        <v>5223</v>
      </c>
      <c r="I535" s="153"/>
      <c r="J535" s="153"/>
      <c r="K535" s="153"/>
      <c r="L535" s="154">
        <v>0</v>
      </c>
      <c r="M535" s="153" t="s">
        <v>157</v>
      </c>
      <c r="N535" s="153" t="s">
        <v>80</v>
      </c>
      <c r="O535" s="153"/>
    </row>
    <row r="536" spans="1:15" x14ac:dyDescent="0.25">
      <c r="A536" s="151" t="s">
        <v>86</v>
      </c>
      <c r="B536" s="152"/>
      <c r="C536" s="153" t="s">
        <v>4214</v>
      </c>
      <c r="D536" s="153"/>
      <c r="E536" s="153"/>
      <c r="F536" s="153"/>
      <c r="G536" s="57" t="s">
        <v>5226</v>
      </c>
      <c r="H536" s="57" t="s">
        <v>5227</v>
      </c>
      <c r="I536" s="153"/>
      <c r="J536" s="153"/>
      <c r="K536" s="153"/>
      <c r="L536" s="154">
        <v>0</v>
      </c>
      <c r="M536" s="153" t="s">
        <v>195</v>
      </c>
      <c r="N536" s="153" t="s">
        <v>80</v>
      </c>
      <c r="O536" s="153"/>
    </row>
    <row r="537" spans="1:15" x14ac:dyDescent="0.25">
      <c r="A537" s="151" t="s">
        <v>86</v>
      </c>
      <c r="B537" s="152"/>
      <c r="C537" s="153" t="s">
        <v>4208</v>
      </c>
      <c r="D537" s="153"/>
      <c r="E537" s="153"/>
      <c r="F537" s="153"/>
      <c r="G537" s="57" t="s">
        <v>5214</v>
      </c>
      <c r="H537" s="57" t="s">
        <v>5215</v>
      </c>
      <c r="I537" s="153"/>
      <c r="J537" s="153"/>
      <c r="K537" s="153"/>
      <c r="L537" s="154">
        <v>0</v>
      </c>
      <c r="M537" s="153" t="s">
        <v>156</v>
      </c>
      <c r="N537" s="153" t="s">
        <v>80</v>
      </c>
      <c r="O537" s="153"/>
    </row>
    <row r="538" spans="1:15" x14ac:dyDescent="0.25">
      <c r="A538" s="151" t="s">
        <v>86</v>
      </c>
      <c r="B538" s="152"/>
      <c r="C538" s="153" t="s">
        <v>4211</v>
      </c>
      <c r="D538" s="153"/>
      <c r="E538" s="153"/>
      <c r="F538" s="153"/>
      <c r="G538" s="57" t="s">
        <v>5220</v>
      </c>
      <c r="H538" s="57" t="s">
        <v>5221</v>
      </c>
      <c r="I538" s="153"/>
      <c r="J538" s="153"/>
      <c r="K538" s="153"/>
      <c r="L538" s="154">
        <v>0</v>
      </c>
      <c r="M538" s="153" t="s">
        <v>157</v>
      </c>
      <c r="N538" s="153" t="s">
        <v>80</v>
      </c>
      <c r="O538" s="153"/>
    </row>
    <row r="539" spans="1:15" x14ac:dyDescent="0.25">
      <c r="A539" s="151" t="s">
        <v>86</v>
      </c>
      <c r="B539" s="152"/>
      <c r="C539" s="153" t="s">
        <v>4210</v>
      </c>
      <c r="D539" s="153"/>
      <c r="E539" s="153"/>
      <c r="F539" s="153"/>
      <c r="G539" s="57" t="s">
        <v>5218</v>
      </c>
      <c r="H539" s="57" t="s">
        <v>5219</v>
      </c>
      <c r="I539" s="153"/>
      <c r="J539" s="153"/>
      <c r="K539" s="153"/>
      <c r="L539" s="154">
        <v>0</v>
      </c>
      <c r="M539" s="153" t="s">
        <v>6355</v>
      </c>
      <c r="N539" s="153" t="s">
        <v>80</v>
      </c>
      <c r="O539" s="153"/>
    </row>
    <row r="540" spans="1:15" x14ac:dyDescent="0.25">
      <c r="A540" s="151" t="s">
        <v>86</v>
      </c>
      <c r="B540" s="152"/>
      <c r="C540" s="153" t="s">
        <v>4209</v>
      </c>
      <c r="D540" s="153"/>
      <c r="E540" s="153"/>
      <c r="F540" s="153"/>
      <c r="G540" s="57" t="s">
        <v>5216</v>
      </c>
      <c r="H540" s="57" t="s">
        <v>5217</v>
      </c>
      <c r="I540" s="153"/>
      <c r="J540" s="153"/>
      <c r="K540" s="153"/>
      <c r="L540" s="154">
        <v>0</v>
      </c>
      <c r="M540" s="153" t="s">
        <v>195</v>
      </c>
      <c r="N540" s="153" t="s">
        <v>80</v>
      </c>
      <c r="O540" s="153"/>
    </row>
    <row r="541" spans="1:15" x14ac:dyDescent="0.25">
      <c r="A541" s="151" t="s">
        <v>86</v>
      </c>
      <c r="B541" s="152"/>
      <c r="C541" s="153" t="s">
        <v>4258</v>
      </c>
      <c r="D541" s="153"/>
      <c r="E541" s="153"/>
      <c r="F541" s="153"/>
      <c r="G541" s="57" t="s">
        <v>5314</v>
      </c>
      <c r="H541" s="57" t="s">
        <v>5315</v>
      </c>
      <c r="I541" s="153"/>
      <c r="J541" s="153"/>
      <c r="K541" s="153"/>
      <c r="L541" s="154">
        <v>0</v>
      </c>
      <c r="M541" s="153" t="s">
        <v>6361</v>
      </c>
      <c r="N541" s="153" t="s">
        <v>80</v>
      </c>
      <c r="O541" s="153"/>
    </row>
    <row r="542" spans="1:15" x14ac:dyDescent="0.25">
      <c r="A542" s="151" t="s">
        <v>86</v>
      </c>
      <c r="B542" s="152"/>
      <c r="C542" s="153" t="s">
        <v>4225</v>
      </c>
      <c r="D542" s="153"/>
      <c r="E542" s="153"/>
      <c r="F542" s="153"/>
      <c r="G542" s="57" t="s">
        <v>5248</v>
      </c>
      <c r="H542" s="57" t="s">
        <v>5249</v>
      </c>
      <c r="I542" s="153"/>
      <c r="J542" s="153"/>
      <c r="K542" s="153"/>
      <c r="L542" s="154">
        <v>0</v>
      </c>
      <c r="M542" s="153" t="s">
        <v>262</v>
      </c>
      <c r="N542" s="153" t="s">
        <v>80</v>
      </c>
      <c r="O542" s="153"/>
    </row>
    <row r="543" spans="1:15" x14ac:dyDescent="0.25">
      <c r="A543" s="151" t="s">
        <v>86</v>
      </c>
      <c r="B543" s="152"/>
      <c r="C543" s="153" t="s">
        <v>4216</v>
      </c>
      <c r="D543" s="153"/>
      <c r="E543" s="153"/>
      <c r="F543" s="153"/>
      <c r="G543" s="57" t="s">
        <v>5230</v>
      </c>
      <c r="H543" s="57" t="s">
        <v>5231</v>
      </c>
      <c r="I543" s="153"/>
      <c r="J543" s="153"/>
      <c r="K543" s="153"/>
      <c r="L543" s="154">
        <v>0</v>
      </c>
      <c r="M543" s="153" t="s">
        <v>6356</v>
      </c>
      <c r="N543" s="153" t="s">
        <v>80</v>
      </c>
      <c r="O543" s="153"/>
    </row>
    <row r="544" spans="1:15" x14ac:dyDescent="0.25">
      <c r="A544" s="151" t="s">
        <v>86</v>
      </c>
      <c r="B544" s="152"/>
      <c r="C544" s="153" t="s">
        <v>4235</v>
      </c>
      <c r="D544" s="153"/>
      <c r="E544" s="153"/>
      <c r="F544" s="153"/>
      <c r="G544" s="58" t="s">
        <v>5268</v>
      </c>
      <c r="H544" s="58" t="s">
        <v>5269</v>
      </c>
      <c r="I544" s="153"/>
      <c r="J544" s="153"/>
      <c r="K544" s="153"/>
      <c r="L544" s="154">
        <v>0</v>
      </c>
      <c r="M544" s="153" t="s">
        <v>6359</v>
      </c>
      <c r="N544" s="153" t="s">
        <v>80</v>
      </c>
      <c r="O544" s="153"/>
    </row>
    <row r="545" spans="1:15" x14ac:dyDescent="0.25">
      <c r="A545" s="151" t="s">
        <v>86</v>
      </c>
      <c r="B545" s="152"/>
      <c r="C545" s="153" t="s">
        <v>4202</v>
      </c>
      <c r="D545" s="153"/>
      <c r="E545" s="153"/>
      <c r="F545" s="153"/>
      <c r="G545" s="57" t="s">
        <v>5202</v>
      </c>
      <c r="H545" s="57" t="s">
        <v>5203</v>
      </c>
      <c r="I545" s="153"/>
      <c r="J545" s="153"/>
      <c r="K545" s="153"/>
      <c r="L545" s="154">
        <v>0</v>
      </c>
      <c r="M545" s="153" t="s">
        <v>195</v>
      </c>
      <c r="N545" s="153" t="s">
        <v>80</v>
      </c>
      <c r="O545" s="153"/>
    </row>
    <row r="546" spans="1:15" x14ac:dyDescent="0.25">
      <c r="A546" s="151" t="s">
        <v>86</v>
      </c>
      <c r="B546" s="152"/>
      <c r="C546" s="153" t="s">
        <v>4262</v>
      </c>
      <c r="D546" s="153"/>
      <c r="E546" s="153"/>
      <c r="F546" s="153"/>
      <c r="G546" s="57" t="s">
        <v>5322</v>
      </c>
      <c r="H546" s="57" t="s">
        <v>5323</v>
      </c>
      <c r="I546" s="153"/>
      <c r="J546" s="153"/>
      <c r="K546" s="153"/>
      <c r="L546" s="154">
        <v>0</v>
      </c>
      <c r="M546" s="153" t="s">
        <v>195</v>
      </c>
      <c r="N546" s="153" t="s">
        <v>80</v>
      </c>
      <c r="O546" s="153"/>
    </row>
    <row r="547" spans="1:15" x14ac:dyDescent="0.25">
      <c r="A547" s="151" t="s">
        <v>86</v>
      </c>
      <c r="B547" s="152"/>
      <c r="C547" s="153" t="s">
        <v>4261</v>
      </c>
      <c r="D547" s="153"/>
      <c r="E547" s="153"/>
      <c r="F547" s="153"/>
      <c r="G547" s="57" t="s">
        <v>5320</v>
      </c>
      <c r="H547" s="57" t="s">
        <v>5321</v>
      </c>
      <c r="I547" s="153"/>
      <c r="J547" s="153"/>
      <c r="K547" s="153"/>
      <c r="L547" s="154">
        <v>0</v>
      </c>
      <c r="M547" s="153" t="s">
        <v>195</v>
      </c>
      <c r="N547" s="153" t="s">
        <v>80</v>
      </c>
      <c r="O547" s="153"/>
    </row>
    <row r="548" spans="1:15" x14ac:dyDescent="0.25">
      <c r="A548" s="151" t="s">
        <v>86</v>
      </c>
      <c r="B548" s="152"/>
      <c r="C548" s="153" t="s">
        <v>4199</v>
      </c>
      <c r="D548" s="153"/>
      <c r="E548" s="153"/>
      <c r="F548" s="153"/>
      <c r="G548" s="57" t="s">
        <v>5196</v>
      </c>
      <c r="H548" s="57" t="s">
        <v>5197</v>
      </c>
      <c r="I548" s="153"/>
      <c r="J548" s="153"/>
      <c r="K548" s="153"/>
      <c r="L548" s="154">
        <v>0</v>
      </c>
      <c r="M548" s="153" t="s">
        <v>195</v>
      </c>
      <c r="N548" s="153" t="s">
        <v>80</v>
      </c>
      <c r="O548" s="153"/>
    </row>
    <row r="549" spans="1:15" x14ac:dyDescent="0.25">
      <c r="A549" s="151" t="s">
        <v>86</v>
      </c>
      <c r="B549" s="152"/>
      <c r="C549" s="153" t="s">
        <v>4200</v>
      </c>
      <c r="D549" s="153"/>
      <c r="E549" s="153"/>
      <c r="F549" s="153"/>
      <c r="G549" s="57" t="s">
        <v>5198</v>
      </c>
      <c r="H549" s="57" t="s">
        <v>5199</v>
      </c>
      <c r="I549" s="153"/>
      <c r="J549" s="153"/>
      <c r="K549" s="153"/>
      <c r="L549" s="154">
        <v>0</v>
      </c>
      <c r="M549" s="153" t="s">
        <v>195</v>
      </c>
      <c r="N549" s="153" t="s">
        <v>80</v>
      </c>
      <c r="O549" s="153"/>
    </row>
    <row r="550" spans="1:15" x14ac:dyDescent="0.25">
      <c r="A550" s="151" t="s">
        <v>86</v>
      </c>
      <c r="B550" s="152"/>
      <c r="C550" s="153" t="s">
        <v>4201</v>
      </c>
      <c r="D550" s="153"/>
      <c r="E550" s="153"/>
      <c r="F550" s="153"/>
      <c r="G550" s="57" t="s">
        <v>5200</v>
      </c>
      <c r="H550" s="57" t="s">
        <v>5201</v>
      </c>
      <c r="I550" s="153"/>
      <c r="J550" s="153"/>
      <c r="K550" s="153"/>
      <c r="L550" s="154">
        <v>0</v>
      </c>
      <c r="M550" s="153" t="s">
        <v>195</v>
      </c>
      <c r="N550" s="153" t="s">
        <v>80</v>
      </c>
      <c r="O550" s="153"/>
    </row>
    <row r="551" spans="1:15" x14ac:dyDescent="0.25">
      <c r="A551" s="151" t="s">
        <v>86</v>
      </c>
      <c r="B551" s="152"/>
      <c r="C551" s="153" t="s">
        <v>4246</v>
      </c>
      <c r="D551" s="153"/>
      <c r="E551" s="153"/>
      <c r="F551" s="153"/>
      <c r="G551" s="58" t="s">
        <v>5290</v>
      </c>
      <c r="H551" s="58" t="s">
        <v>5291</v>
      </c>
      <c r="I551" s="153"/>
      <c r="J551" s="153"/>
      <c r="K551" s="153"/>
      <c r="L551" s="154">
        <v>0</v>
      </c>
      <c r="M551" s="153" t="s">
        <v>1877</v>
      </c>
      <c r="N551" s="153" t="s">
        <v>80</v>
      </c>
      <c r="O551" s="153"/>
    </row>
    <row r="552" spans="1:15" x14ac:dyDescent="0.25">
      <c r="A552" s="151" t="s">
        <v>86</v>
      </c>
      <c r="B552" s="152"/>
      <c r="C552" s="153" t="s">
        <v>4250</v>
      </c>
      <c r="D552" s="153"/>
      <c r="E552" s="153"/>
      <c r="F552" s="153"/>
      <c r="G552" s="57" t="s">
        <v>5298</v>
      </c>
      <c r="H552" s="57" t="s">
        <v>5299</v>
      </c>
      <c r="I552" s="153"/>
      <c r="J552" s="153"/>
      <c r="K552" s="153"/>
      <c r="L552" s="154">
        <v>0</v>
      </c>
      <c r="M552" s="153" t="s">
        <v>100</v>
      </c>
      <c r="N552" s="153" t="s">
        <v>80</v>
      </c>
      <c r="O552" s="153"/>
    </row>
    <row r="553" spans="1:15" x14ac:dyDescent="0.25">
      <c r="A553" s="151" t="s">
        <v>86</v>
      </c>
      <c r="B553" s="152"/>
      <c r="C553" s="153" t="s">
        <v>4271</v>
      </c>
      <c r="D553" s="153"/>
      <c r="E553" s="153"/>
      <c r="F553" s="153"/>
      <c r="G553" s="57" t="s">
        <v>5340</v>
      </c>
      <c r="H553" s="57" t="s">
        <v>5341</v>
      </c>
      <c r="I553" s="153"/>
      <c r="J553" s="153"/>
      <c r="K553" s="153"/>
      <c r="L553" s="154">
        <v>0</v>
      </c>
      <c r="M553" s="153" t="s">
        <v>6361</v>
      </c>
      <c r="N553" s="153" t="s">
        <v>80</v>
      </c>
      <c r="O553" s="153"/>
    </row>
    <row r="554" spans="1:15" x14ac:dyDescent="0.25">
      <c r="A554" s="151" t="s">
        <v>86</v>
      </c>
      <c r="B554" s="152"/>
      <c r="C554" s="153" t="s">
        <v>4272</v>
      </c>
      <c r="D554" s="153"/>
      <c r="E554" s="153"/>
      <c r="F554" s="153"/>
      <c r="G554" s="60" t="s">
        <v>5342</v>
      </c>
      <c r="H554" s="60" t="s">
        <v>5343</v>
      </c>
      <c r="I554" s="153"/>
      <c r="J554" s="153"/>
      <c r="K554" s="153"/>
      <c r="L554" s="154">
        <v>0</v>
      </c>
      <c r="M554" s="153" t="s">
        <v>6361</v>
      </c>
      <c r="N554" s="153" t="s">
        <v>80</v>
      </c>
      <c r="O554" s="153"/>
    </row>
    <row r="555" spans="1:15" x14ac:dyDescent="0.25">
      <c r="A555" s="151" t="s">
        <v>86</v>
      </c>
      <c r="B555" s="152"/>
      <c r="C555" s="153" t="s">
        <v>4226</v>
      </c>
      <c r="D555" s="153"/>
      <c r="E555" s="153"/>
      <c r="F555" s="153"/>
      <c r="G555" s="57" t="s">
        <v>5250</v>
      </c>
      <c r="H555" s="57" t="s">
        <v>5251</v>
      </c>
      <c r="I555" s="153"/>
      <c r="J555" s="153"/>
      <c r="K555" s="153"/>
      <c r="L555" s="154">
        <v>0</v>
      </c>
      <c r="M555" s="153" t="s">
        <v>262</v>
      </c>
      <c r="N555" s="153" t="s">
        <v>80</v>
      </c>
      <c r="O555" s="153"/>
    </row>
    <row r="556" spans="1:15" x14ac:dyDescent="0.25">
      <c r="A556" s="151" t="s">
        <v>86</v>
      </c>
      <c r="B556" s="152"/>
      <c r="C556" s="153" t="s">
        <v>4215</v>
      </c>
      <c r="D556" s="153"/>
      <c r="E556" s="153"/>
      <c r="F556" s="153"/>
      <c r="G556" s="57" t="s">
        <v>5228</v>
      </c>
      <c r="H556" s="57" t="s">
        <v>5229</v>
      </c>
      <c r="I556" s="153"/>
      <c r="J556" s="153"/>
      <c r="K556" s="153"/>
      <c r="L556" s="154">
        <v>0</v>
      </c>
      <c r="M556" s="153" t="s">
        <v>6356</v>
      </c>
      <c r="N556" s="153" t="s">
        <v>80</v>
      </c>
      <c r="O556" s="153"/>
    </row>
    <row r="557" spans="1:15" x14ac:dyDescent="0.25">
      <c r="A557" s="151" t="s">
        <v>86</v>
      </c>
      <c r="B557" s="152"/>
      <c r="C557" s="153" t="s">
        <v>4224</v>
      </c>
      <c r="D557" s="153"/>
      <c r="E557" s="153"/>
      <c r="F557" s="153"/>
      <c r="G557" s="57" t="s">
        <v>5246</v>
      </c>
      <c r="H557" s="57" t="s">
        <v>5247</v>
      </c>
      <c r="I557" s="153"/>
      <c r="J557" s="153"/>
      <c r="K557" s="153"/>
      <c r="L557" s="154">
        <v>0</v>
      </c>
      <c r="M557" s="153" t="s">
        <v>262</v>
      </c>
      <c r="N557" s="153" t="s">
        <v>80</v>
      </c>
      <c r="O557" s="153"/>
    </row>
    <row r="558" spans="1:15" x14ac:dyDescent="0.25">
      <c r="A558" s="151" t="s">
        <v>86</v>
      </c>
      <c r="B558" s="152"/>
      <c r="C558" s="153" t="s">
        <v>4259</v>
      </c>
      <c r="D558" s="153"/>
      <c r="E558" s="153"/>
      <c r="F558" s="153"/>
      <c r="G558" s="57" t="s">
        <v>5316</v>
      </c>
      <c r="H558" s="57" t="s">
        <v>5317</v>
      </c>
      <c r="I558" s="153"/>
      <c r="J558" s="153"/>
      <c r="K558" s="153"/>
      <c r="L558" s="154">
        <v>0</v>
      </c>
      <c r="M558" s="153" t="s">
        <v>157</v>
      </c>
      <c r="N558" s="153" t="s">
        <v>80</v>
      </c>
      <c r="O558" s="153"/>
    </row>
    <row r="559" spans="1:15" x14ac:dyDescent="0.25">
      <c r="A559" s="151" t="s">
        <v>86</v>
      </c>
      <c r="B559" s="152"/>
      <c r="C559" s="153" t="s">
        <v>4263</v>
      </c>
      <c r="D559" s="153"/>
      <c r="E559" s="153"/>
      <c r="F559" s="153"/>
      <c r="G559" s="60" t="s">
        <v>5324</v>
      </c>
      <c r="H559" s="60" t="s">
        <v>5325</v>
      </c>
      <c r="I559" s="153"/>
      <c r="J559" s="153"/>
      <c r="K559" s="153"/>
      <c r="L559" s="154">
        <v>0</v>
      </c>
      <c r="M559" s="153" t="s">
        <v>6362</v>
      </c>
      <c r="N559" s="153" t="s">
        <v>80</v>
      </c>
      <c r="O559" s="153"/>
    </row>
    <row r="560" spans="1:15" x14ac:dyDescent="0.25">
      <c r="A560" s="151" t="s">
        <v>86</v>
      </c>
      <c r="B560" s="152"/>
      <c r="C560" s="153" t="s">
        <v>4266</v>
      </c>
      <c r="D560" s="153"/>
      <c r="E560" s="153"/>
      <c r="F560" s="153"/>
      <c r="G560" s="60" t="s">
        <v>5330</v>
      </c>
      <c r="H560" s="60" t="s">
        <v>5331</v>
      </c>
      <c r="I560" s="153"/>
      <c r="J560" s="153"/>
      <c r="K560" s="153"/>
      <c r="L560" s="154">
        <v>0</v>
      </c>
      <c r="M560" s="153" t="s">
        <v>6362</v>
      </c>
      <c r="N560" s="153" t="s">
        <v>80</v>
      </c>
      <c r="O560" s="153"/>
    </row>
    <row r="561" spans="1:15" x14ac:dyDescent="0.25">
      <c r="A561" s="151" t="s">
        <v>86</v>
      </c>
      <c r="B561" s="152"/>
      <c r="C561" s="153" t="s">
        <v>4267</v>
      </c>
      <c r="D561" s="153"/>
      <c r="E561" s="153"/>
      <c r="F561" s="153"/>
      <c r="G561" s="60" t="s">
        <v>5332</v>
      </c>
      <c r="H561" s="60" t="s">
        <v>5333</v>
      </c>
      <c r="I561" s="153"/>
      <c r="J561" s="153"/>
      <c r="K561" s="153"/>
      <c r="L561" s="154">
        <v>0</v>
      </c>
      <c r="M561" s="153" t="s">
        <v>6362</v>
      </c>
      <c r="N561" s="153" t="s">
        <v>80</v>
      </c>
      <c r="O561" s="153"/>
    </row>
    <row r="562" spans="1:15" x14ac:dyDescent="0.25">
      <c r="A562" s="151" t="s">
        <v>86</v>
      </c>
      <c r="B562" s="152"/>
      <c r="C562" s="153" t="s">
        <v>4265</v>
      </c>
      <c r="D562" s="153"/>
      <c r="E562" s="153"/>
      <c r="F562" s="153"/>
      <c r="G562" s="60" t="s">
        <v>5328</v>
      </c>
      <c r="H562" s="60" t="s">
        <v>5329</v>
      </c>
      <c r="I562" s="153"/>
      <c r="J562" s="153"/>
      <c r="K562" s="153"/>
      <c r="L562" s="154">
        <v>0</v>
      </c>
      <c r="M562" s="153" t="s">
        <v>6362</v>
      </c>
      <c r="N562" s="153" t="s">
        <v>80</v>
      </c>
      <c r="O562" s="153"/>
    </row>
    <row r="563" spans="1:15" x14ac:dyDescent="0.25">
      <c r="A563" s="151" t="s">
        <v>86</v>
      </c>
      <c r="B563" s="152"/>
      <c r="C563" s="153" t="s">
        <v>4254</v>
      </c>
      <c r="D563" s="153"/>
      <c r="E563" s="153"/>
      <c r="F563" s="153"/>
      <c r="G563" s="57" t="s">
        <v>5306</v>
      </c>
      <c r="H563" s="57" t="s">
        <v>5307</v>
      </c>
      <c r="I563" s="153"/>
      <c r="J563" s="153"/>
      <c r="K563" s="153"/>
      <c r="L563" s="154">
        <v>0</v>
      </c>
      <c r="M563" s="153" t="s">
        <v>163</v>
      </c>
      <c r="N563" s="153" t="s">
        <v>80</v>
      </c>
      <c r="O563" s="153"/>
    </row>
    <row r="564" spans="1:15" x14ac:dyDescent="0.25">
      <c r="A564" s="151" t="s">
        <v>86</v>
      </c>
      <c r="B564" s="152"/>
      <c r="C564" s="153" t="s">
        <v>4249</v>
      </c>
      <c r="D564" s="153"/>
      <c r="E564" s="153"/>
      <c r="F564" s="153"/>
      <c r="G564" s="57" t="s">
        <v>5296</v>
      </c>
      <c r="H564" s="57" t="s">
        <v>5297</v>
      </c>
      <c r="I564" s="153"/>
      <c r="J564" s="153"/>
      <c r="K564" s="153"/>
      <c r="L564" s="154">
        <v>0</v>
      </c>
      <c r="M564" s="153" t="s">
        <v>100</v>
      </c>
      <c r="N564" s="153" t="s">
        <v>80</v>
      </c>
      <c r="O564" s="153"/>
    </row>
    <row r="565" spans="1:15" x14ac:dyDescent="0.25">
      <c r="A565" s="151" t="s">
        <v>86</v>
      </c>
      <c r="B565" s="152"/>
      <c r="C565" s="153" t="s">
        <v>4269</v>
      </c>
      <c r="D565" s="153"/>
      <c r="E565" s="153"/>
      <c r="F565" s="153"/>
      <c r="G565" s="57" t="s">
        <v>5336</v>
      </c>
      <c r="H565" s="57" t="s">
        <v>5337</v>
      </c>
      <c r="I565" s="153"/>
      <c r="J565" s="153"/>
      <c r="K565" s="153"/>
      <c r="L565" s="154">
        <v>0</v>
      </c>
      <c r="M565" s="153" t="s">
        <v>262</v>
      </c>
      <c r="N565" s="153" t="s">
        <v>80</v>
      </c>
      <c r="O565" s="153"/>
    </row>
    <row r="566" spans="1:15" x14ac:dyDescent="0.25">
      <c r="A566" s="151" t="s">
        <v>86</v>
      </c>
      <c r="B566" s="152"/>
      <c r="C566" s="153" t="s">
        <v>4270</v>
      </c>
      <c r="D566" s="153"/>
      <c r="E566" s="153"/>
      <c r="F566" s="153"/>
      <c r="G566" s="60" t="s">
        <v>5338</v>
      </c>
      <c r="H566" s="60" t="s">
        <v>5339</v>
      </c>
      <c r="I566" s="153"/>
      <c r="J566" s="153"/>
      <c r="K566" s="153"/>
      <c r="L566" s="154">
        <v>0</v>
      </c>
      <c r="M566" s="153" t="s">
        <v>262</v>
      </c>
      <c r="N566" s="153" t="s">
        <v>80</v>
      </c>
      <c r="O566" s="153"/>
    </row>
    <row r="567" spans="1:15" x14ac:dyDescent="0.25">
      <c r="A567" s="151" t="s">
        <v>86</v>
      </c>
      <c r="B567" s="152"/>
      <c r="C567" s="153" t="s">
        <v>4228</v>
      </c>
      <c r="D567" s="153"/>
      <c r="E567" s="153"/>
      <c r="F567" s="153"/>
      <c r="G567" s="57" t="s">
        <v>5254</v>
      </c>
      <c r="H567" s="57" t="s">
        <v>5255</v>
      </c>
      <c r="I567" s="153"/>
      <c r="J567" s="153"/>
      <c r="K567" s="153"/>
      <c r="L567" s="154">
        <v>0</v>
      </c>
      <c r="M567" s="153" t="s">
        <v>262</v>
      </c>
      <c r="N567" s="153" t="s">
        <v>80</v>
      </c>
      <c r="O567" s="153"/>
    </row>
    <row r="568" spans="1:15" x14ac:dyDescent="0.25">
      <c r="A568" s="151" t="s">
        <v>86</v>
      </c>
      <c r="B568" s="152"/>
      <c r="C568" s="153" t="s">
        <v>4251</v>
      </c>
      <c r="D568" s="153"/>
      <c r="E568" s="153"/>
      <c r="F568" s="153"/>
      <c r="G568" s="57" t="s">
        <v>5300</v>
      </c>
      <c r="H568" s="57" t="s">
        <v>5301</v>
      </c>
      <c r="I568" s="153"/>
      <c r="J568" s="153"/>
      <c r="K568" s="153"/>
      <c r="L568" s="154">
        <v>0</v>
      </c>
      <c r="M568" s="153" t="s">
        <v>100</v>
      </c>
      <c r="N568" s="153" t="s">
        <v>80</v>
      </c>
      <c r="O568" s="153"/>
    </row>
    <row r="569" spans="1:15" x14ac:dyDescent="0.25">
      <c r="A569" s="151" t="s">
        <v>86</v>
      </c>
      <c r="B569" s="152"/>
      <c r="C569" s="153" t="s">
        <v>4252</v>
      </c>
      <c r="D569" s="153"/>
      <c r="E569" s="153"/>
      <c r="F569" s="153"/>
      <c r="G569" s="57" t="s">
        <v>5302</v>
      </c>
      <c r="H569" s="57" t="s">
        <v>5303</v>
      </c>
      <c r="I569" s="153"/>
      <c r="J569" s="153"/>
      <c r="K569" s="153"/>
      <c r="L569" s="154">
        <v>0</v>
      </c>
      <c r="M569" s="153" t="s">
        <v>100</v>
      </c>
      <c r="N569" s="153" t="s">
        <v>80</v>
      </c>
      <c r="O569" s="153"/>
    </row>
    <row r="570" spans="1:15" x14ac:dyDescent="0.25">
      <c r="A570" s="151" t="s">
        <v>86</v>
      </c>
      <c r="B570" s="152"/>
      <c r="C570" s="153" t="s">
        <v>4207</v>
      </c>
      <c r="D570" s="153"/>
      <c r="E570" s="153"/>
      <c r="F570" s="153"/>
      <c r="G570" s="57" t="s">
        <v>5212</v>
      </c>
      <c r="H570" s="57" t="s">
        <v>5213</v>
      </c>
      <c r="I570" s="153"/>
      <c r="J570" s="153"/>
      <c r="K570" s="153"/>
      <c r="L570" s="154">
        <v>0</v>
      </c>
      <c r="M570" s="153" t="s">
        <v>6354</v>
      </c>
      <c r="N570" s="153" t="s">
        <v>80</v>
      </c>
      <c r="O570" s="153"/>
    </row>
    <row r="571" spans="1:15" x14ac:dyDescent="0.25">
      <c r="A571" s="151" t="s">
        <v>86</v>
      </c>
      <c r="B571" s="152"/>
      <c r="C571" s="153" t="s">
        <v>4206</v>
      </c>
      <c r="D571" s="153"/>
      <c r="E571" s="153"/>
      <c r="F571" s="153"/>
      <c r="G571" s="57" t="s">
        <v>5210</v>
      </c>
      <c r="H571" s="57" t="s">
        <v>5211</v>
      </c>
      <c r="I571" s="153"/>
      <c r="J571" s="153"/>
      <c r="K571" s="153"/>
      <c r="L571" s="154">
        <v>0</v>
      </c>
      <c r="M571" s="153" t="s">
        <v>6353</v>
      </c>
      <c r="N571" s="153" t="s">
        <v>80</v>
      </c>
      <c r="O571" s="153"/>
    </row>
    <row r="572" spans="1:15" x14ac:dyDescent="0.25">
      <c r="A572" s="151" t="s">
        <v>86</v>
      </c>
      <c r="B572" s="152"/>
      <c r="C572" s="153" t="s">
        <v>4256</v>
      </c>
      <c r="D572" s="153"/>
      <c r="E572" s="153"/>
      <c r="F572" s="153"/>
      <c r="G572" s="150" t="s">
        <v>5310</v>
      </c>
      <c r="H572" s="150" t="s">
        <v>5311</v>
      </c>
      <c r="I572" s="153"/>
      <c r="J572" s="153"/>
      <c r="K572" s="153"/>
      <c r="L572" s="154">
        <v>0</v>
      </c>
      <c r="M572" s="153" t="s">
        <v>163</v>
      </c>
      <c r="N572" s="153" t="s">
        <v>80</v>
      </c>
      <c r="O572" s="153"/>
    </row>
    <row r="573" spans="1:15" x14ac:dyDescent="0.25">
      <c r="A573" s="151" t="s">
        <v>86</v>
      </c>
      <c r="B573" s="152"/>
      <c r="C573" s="153" t="s">
        <v>4241</v>
      </c>
      <c r="D573" s="153"/>
      <c r="E573" s="153"/>
      <c r="F573" s="153"/>
      <c r="G573" s="58" t="s">
        <v>5280</v>
      </c>
      <c r="H573" s="58" t="s">
        <v>5281</v>
      </c>
      <c r="I573" s="153"/>
      <c r="J573" s="153"/>
      <c r="K573" s="153"/>
      <c r="L573" s="154">
        <v>0</v>
      </c>
      <c r="M573" s="153" t="s">
        <v>139</v>
      </c>
      <c r="N573" s="153" t="s">
        <v>80</v>
      </c>
      <c r="O573" s="153"/>
    </row>
    <row r="574" spans="1:15" x14ac:dyDescent="0.25">
      <c r="A574" s="151" t="s">
        <v>86</v>
      </c>
      <c r="B574" s="152"/>
      <c r="C574" s="153" t="s">
        <v>4243</v>
      </c>
      <c r="D574" s="153"/>
      <c r="E574" s="153"/>
      <c r="F574" s="153"/>
      <c r="G574" s="58" t="s">
        <v>5284</v>
      </c>
      <c r="H574" s="58" t="s">
        <v>5285</v>
      </c>
      <c r="I574" s="153"/>
      <c r="J574" s="153"/>
      <c r="K574" s="153"/>
      <c r="L574" s="154">
        <v>0</v>
      </c>
      <c r="M574" s="153" t="s">
        <v>139</v>
      </c>
      <c r="N574" s="153" t="s">
        <v>80</v>
      </c>
      <c r="O574" s="153"/>
    </row>
    <row r="575" spans="1:15" x14ac:dyDescent="0.25">
      <c r="A575" s="151" t="s">
        <v>86</v>
      </c>
      <c r="B575" s="152"/>
      <c r="C575" s="153" t="s">
        <v>4242</v>
      </c>
      <c r="D575" s="153"/>
      <c r="E575" s="153"/>
      <c r="F575" s="153"/>
      <c r="G575" s="58" t="s">
        <v>5282</v>
      </c>
      <c r="H575" s="58" t="s">
        <v>5283</v>
      </c>
      <c r="I575" s="153"/>
      <c r="J575" s="153"/>
      <c r="K575" s="153"/>
      <c r="L575" s="154">
        <v>0</v>
      </c>
      <c r="M575" s="153" t="s">
        <v>139</v>
      </c>
      <c r="N575" s="153" t="s">
        <v>80</v>
      </c>
      <c r="O575" s="153"/>
    </row>
    <row r="576" spans="1:15" x14ac:dyDescent="0.25">
      <c r="A576" s="151" t="s">
        <v>86</v>
      </c>
      <c r="B576" s="152"/>
      <c r="C576" s="153" t="s">
        <v>4229</v>
      </c>
      <c r="D576" s="153"/>
      <c r="E576" s="153"/>
      <c r="F576" s="153"/>
      <c r="G576" s="57" t="s">
        <v>5256</v>
      </c>
      <c r="H576" s="57" t="s">
        <v>5257</v>
      </c>
      <c r="I576" s="153"/>
      <c r="J576" s="153"/>
      <c r="K576" s="153"/>
      <c r="L576" s="154">
        <v>0</v>
      </c>
      <c r="M576" s="153" t="s">
        <v>262</v>
      </c>
      <c r="N576" s="153" t="s">
        <v>80</v>
      </c>
      <c r="O576" s="153"/>
    </row>
    <row r="577" spans="1:15" x14ac:dyDescent="0.25">
      <c r="A577" s="151" t="s">
        <v>86</v>
      </c>
      <c r="B577" s="152"/>
      <c r="C577" s="153" t="s">
        <v>4260</v>
      </c>
      <c r="D577" s="153"/>
      <c r="E577" s="153"/>
      <c r="F577" s="153"/>
      <c r="G577" s="57" t="s">
        <v>5318</v>
      </c>
      <c r="H577" s="57" t="s">
        <v>5319</v>
      </c>
      <c r="I577" s="153"/>
      <c r="J577" s="153"/>
      <c r="K577" s="153"/>
      <c r="L577" s="154">
        <v>0</v>
      </c>
      <c r="M577" s="153" t="s">
        <v>157</v>
      </c>
      <c r="N577" s="153" t="s">
        <v>80</v>
      </c>
      <c r="O577" s="153"/>
    </row>
    <row r="578" spans="1:15" x14ac:dyDescent="0.25">
      <c r="A578" s="151" t="s">
        <v>86</v>
      </c>
      <c r="B578" s="152"/>
      <c r="C578" s="153" t="s">
        <v>4255</v>
      </c>
      <c r="D578" s="153"/>
      <c r="E578" s="153"/>
      <c r="F578" s="153"/>
      <c r="G578" s="57" t="s">
        <v>5308</v>
      </c>
      <c r="H578" s="57" t="s">
        <v>5309</v>
      </c>
      <c r="I578" s="153"/>
      <c r="J578" s="153"/>
      <c r="K578" s="153"/>
      <c r="L578" s="154">
        <v>0</v>
      </c>
      <c r="M578" s="153" t="s">
        <v>163</v>
      </c>
      <c r="N578" s="153" t="s">
        <v>80</v>
      </c>
      <c r="O578" s="153"/>
    </row>
    <row r="579" spans="1:15" x14ac:dyDescent="0.25">
      <c r="A579" s="151" t="s">
        <v>86</v>
      </c>
      <c r="B579" s="152"/>
      <c r="C579" s="153" t="s">
        <v>4203</v>
      </c>
      <c r="D579" s="153"/>
      <c r="E579" s="153"/>
      <c r="F579" s="153"/>
      <c r="G579" s="57" t="s">
        <v>5204</v>
      </c>
      <c r="H579" s="57" t="s">
        <v>5205</v>
      </c>
      <c r="I579" s="153"/>
      <c r="J579" s="153"/>
      <c r="K579" s="153"/>
      <c r="L579" s="154">
        <v>0</v>
      </c>
      <c r="M579" s="153" t="s">
        <v>195</v>
      </c>
      <c r="N579" s="153" t="s">
        <v>80</v>
      </c>
      <c r="O579" s="153"/>
    </row>
    <row r="580" spans="1:15" x14ac:dyDescent="0.25">
      <c r="A580" s="151" t="s">
        <v>86</v>
      </c>
      <c r="B580" s="152"/>
      <c r="C580" s="153" t="s">
        <v>4234</v>
      </c>
      <c r="D580" s="153"/>
      <c r="E580" s="153"/>
      <c r="F580" s="153"/>
      <c r="G580" s="57" t="s">
        <v>5266</v>
      </c>
      <c r="H580" s="57" t="s">
        <v>5267</v>
      </c>
      <c r="I580" s="153"/>
      <c r="J580" s="153"/>
      <c r="K580" s="153"/>
      <c r="L580" s="154">
        <v>0</v>
      </c>
      <c r="M580" s="153" t="s">
        <v>6358</v>
      </c>
      <c r="N580" s="153" t="s">
        <v>80</v>
      </c>
      <c r="O580" s="153"/>
    </row>
    <row r="581" spans="1:15" x14ac:dyDescent="0.25">
      <c r="A581" s="151" t="s">
        <v>86</v>
      </c>
      <c r="B581" s="152"/>
      <c r="C581" s="153" t="s">
        <v>4204</v>
      </c>
      <c r="D581" s="153"/>
      <c r="E581" s="153"/>
      <c r="F581" s="153"/>
      <c r="G581" s="57" t="s">
        <v>5206</v>
      </c>
      <c r="H581" s="57" t="s">
        <v>5207</v>
      </c>
      <c r="I581" s="153"/>
      <c r="J581" s="153"/>
      <c r="K581" s="153"/>
      <c r="L581" s="154">
        <v>0</v>
      </c>
      <c r="M581" s="153" t="s">
        <v>195</v>
      </c>
      <c r="N581" s="153" t="s">
        <v>80</v>
      </c>
      <c r="O581" s="153"/>
    </row>
    <row r="582" spans="1:15" x14ac:dyDescent="0.25">
      <c r="A582" s="151" t="s">
        <v>86</v>
      </c>
      <c r="B582" s="152"/>
      <c r="C582" s="153" t="s">
        <v>4257</v>
      </c>
      <c r="D582" s="153"/>
      <c r="E582" s="153"/>
      <c r="F582" s="153"/>
      <c r="G582" s="57" t="s">
        <v>5312</v>
      </c>
      <c r="H582" s="57" t="s">
        <v>5313</v>
      </c>
      <c r="I582" s="153"/>
      <c r="J582" s="153"/>
      <c r="K582" s="153"/>
      <c r="L582" s="154">
        <v>0</v>
      </c>
      <c r="M582" s="153" t="s">
        <v>163</v>
      </c>
      <c r="N582" s="153" t="s">
        <v>80</v>
      </c>
      <c r="O582" s="153"/>
    </row>
    <row r="583" spans="1:15" x14ac:dyDescent="0.25">
      <c r="A583" s="151" t="s">
        <v>86</v>
      </c>
      <c r="B583" s="152"/>
      <c r="C583" s="153" t="s">
        <v>4219</v>
      </c>
      <c r="D583" s="153"/>
      <c r="E583" s="153"/>
      <c r="F583" s="153"/>
      <c r="G583" s="57" t="s">
        <v>5236</v>
      </c>
      <c r="H583" s="57" t="s">
        <v>5237</v>
      </c>
      <c r="I583" s="153"/>
      <c r="J583" s="153"/>
      <c r="K583" s="153"/>
      <c r="L583" s="154">
        <v>0</v>
      </c>
      <c r="M583" s="153" t="s">
        <v>262</v>
      </c>
      <c r="N583" s="153" t="s">
        <v>80</v>
      </c>
      <c r="O583" s="153"/>
    </row>
    <row r="584" spans="1:15" x14ac:dyDescent="0.25">
      <c r="A584" s="151" t="s">
        <v>86</v>
      </c>
      <c r="B584" s="152"/>
      <c r="C584" s="153" t="s">
        <v>4222</v>
      </c>
      <c r="D584" s="153"/>
      <c r="E584" s="153"/>
      <c r="F584" s="153"/>
      <c r="G584" s="57" t="s">
        <v>5242</v>
      </c>
      <c r="H584" s="57" t="s">
        <v>5243</v>
      </c>
      <c r="I584" s="153"/>
      <c r="J584" s="153"/>
      <c r="K584" s="153"/>
      <c r="L584" s="154">
        <v>0</v>
      </c>
      <c r="M584" s="153" t="s">
        <v>262</v>
      </c>
      <c r="N584" s="153" t="s">
        <v>80</v>
      </c>
      <c r="O584" s="153"/>
    </row>
    <row r="585" spans="1:15" x14ac:dyDescent="0.25">
      <c r="A585" s="151" t="s">
        <v>86</v>
      </c>
      <c r="B585" s="152"/>
      <c r="C585" s="153" t="s">
        <v>4223</v>
      </c>
      <c r="D585" s="153"/>
      <c r="E585" s="153"/>
      <c r="F585" s="153"/>
      <c r="G585" s="60" t="s">
        <v>5244</v>
      </c>
      <c r="H585" s="60" t="s">
        <v>5245</v>
      </c>
      <c r="I585" s="153"/>
      <c r="J585" s="153"/>
      <c r="K585" s="153"/>
      <c r="L585" s="154">
        <v>0</v>
      </c>
      <c r="M585" s="153" t="s">
        <v>262</v>
      </c>
      <c r="N585" s="153" t="s">
        <v>80</v>
      </c>
      <c r="O585" s="153"/>
    </row>
    <row r="586" spans="1:15" x14ac:dyDescent="0.25">
      <c r="A586" s="151" t="s">
        <v>86</v>
      </c>
      <c r="B586" s="152"/>
      <c r="C586" s="153" t="s">
        <v>4231</v>
      </c>
      <c r="D586" s="153"/>
      <c r="E586" s="153"/>
      <c r="F586" s="153"/>
      <c r="G586" s="57" t="s">
        <v>5260</v>
      </c>
      <c r="H586" s="57" t="s">
        <v>5261</v>
      </c>
      <c r="I586" s="153"/>
      <c r="J586" s="153"/>
      <c r="K586" s="153"/>
      <c r="L586" s="154">
        <v>0</v>
      </c>
      <c r="M586" s="153" t="s">
        <v>262</v>
      </c>
      <c r="N586" s="153" t="s">
        <v>80</v>
      </c>
      <c r="O586" s="153"/>
    </row>
    <row r="587" spans="1:15" x14ac:dyDescent="0.25">
      <c r="A587" s="151" t="s">
        <v>86</v>
      </c>
      <c r="B587" s="152"/>
      <c r="C587" s="153" t="s">
        <v>4230</v>
      </c>
      <c r="D587" s="153"/>
      <c r="E587" s="153"/>
      <c r="F587" s="153"/>
      <c r="G587" s="57" t="s">
        <v>5258</v>
      </c>
      <c r="H587" s="57" t="s">
        <v>5259</v>
      </c>
      <c r="I587" s="153"/>
      <c r="J587" s="153"/>
      <c r="K587" s="153"/>
      <c r="L587" s="154">
        <v>0</v>
      </c>
      <c r="M587" s="153" t="s">
        <v>262</v>
      </c>
      <c r="N587" s="153" t="s">
        <v>80</v>
      </c>
      <c r="O587" s="153"/>
    </row>
    <row r="588" spans="1:15" x14ac:dyDescent="0.25">
      <c r="A588" s="151" t="s">
        <v>86</v>
      </c>
      <c r="B588" s="152"/>
      <c r="C588" s="153" t="s">
        <v>4232</v>
      </c>
      <c r="D588" s="153"/>
      <c r="E588" s="153"/>
      <c r="F588" s="153"/>
      <c r="G588" s="57" t="s">
        <v>5262</v>
      </c>
      <c r="H588" s="57" t="s">
        <v>5263</v>
      </c>
      <c r="I588" s="153"/>
      <c r="J588" s="153"/>
      <c r="K588" s="153"/>
      <c r="L588" s="154">
        <v>0</v>
      </c>
      <c r="M588" s="153" t="s">
        <v>262</v>
      </c>
      <c r="N588" s="153" t="s">
        <v>80</v>
      </c>
      <c r="O588" s="153"/>
    </row>
    <row r="589" spans="1:15" x14ac:dyDescent="0.25">
      <c r="A589" s="151" t="s">
        <v>86</v>
      </c>
      <c r="B589" s="152"/>
      <c r="C589" s="153" t="s">
        <v>4247</v>
      </c>
      <c r="D589" s="153"/>
      <c r="E589" s="153"/>
      <c r="F589" s="153"/>
      <c r="G589" s="57" t="s">
        <v>5292</v>
      </c>
      <c r="H589" s="57" t="s">
        <v>5293</v>
      </c>
      <c r="I589" s="153"/>
      <c r="J589" s="153"/>
      <c r="K589" s="153"/>
      <c r="L589" s="154">
        <v>0</v>
      </c>
      <c r="M589" s="153" t="s">
        <v>6360</v>
      </c>
      <c r="N589" s="153" t="s">
        <v>80</v>
      </c>
      <c r="O589" s="153"/>
    </row>
    <row r="590" spans="1:15" x14ac:dyDescent="0.25">
      <c r="A590" s="151" t="s">
        <v>86</v>
      </c>
      <c r="B590" s="152"/>
      <c r="C590" s="153" t="s">
        <v>4217</v>
      </c>
      <c r="D590" s="153"/>
      <c r="E590" s="153"/>
      <c r="F590" s="153"/>
      <c r="G590" s="57" t="s">
        <v>5232</v>
      </c>
      <c r="H590" s="57" t="s">
        <v>5233</v>
      </c>
      <c r="I590" s="153"/>
      <c r="J590" s="153"/>
      <c r="K590" s="153"/>
      <c r="L590" s="154">
        <v>0</v>
      </c>
      <c r="M590" s="153" t="s">
        <v>6357</v>
      </c>
      <c r="N590" s="153" t="s">
        <v>80</v>
      </c>
      <c r="O590" s="153"/>
    </row>
    <row r="591" spans="1:15" x14ac:dyDescent="0.25">
      <c r="A591" s="151" t="s">
        <v>86</v>
      </c>
      <c r="B591" s="152"/>
      <c r="C591" s="153" t="s">
        <v>4233</v>
      </c>
      <c r="D591" s="153"/>
      <c r="E591" s="153"/>
      <c r="F591" s="153"/>
      <c r="G591" s="57" t="s">
        <v>5264</v>
      </c>
      <c r="H591" s="57" t="s">
        <v>5265</v>
      </c>
      <c r="I591" s="153"/>
      <c r="J591" s="153"/>
      <c r="K591" s="153"/>
      <c r="L591" s="154">
        <v>0</v>
      </c>
      <c r="M591" s="153" t="s">
        <v>262</v>
      </c>
      <c r="N591" s="153" t="s">
        <v>80</v>
      </c>
      <c r="O591" s="153"/>
    </row>
    <row r="592" spans="1:15" x14ac:dyDescent="0.25">
      <c r="A592" s="151" t="s">
        <v>86</v>
      </c>
      <c r="B592" s="152"/>
      <c r="C592" s="153" t="s">
        <v>4227</v>
      </c>
      <c r="D592" s="153"/>
      <c r="E592" s="153"/>
      <c r="F592" s="153"/>
      <c r="G592" s="57" t="s">
        <v>5252</v>
      </c>
      <c r="H592" s="57" t="s">
        <v>5253</v>
      </c>
      <c r="I592" s="153"/>
      <c r="J592" s="153"/>
      <c r="K592" s="153"/>
      <c r="L592" s="154">
        <v>0</v>
      </c>
      <c r="M592" s="153" t="s">
        <v>262</v>
      </c>
      <c r="N592" s="153" t="s">
        <v>80</v>
      </c>
      <c r="O592" s="153"/>
    </row>
    <row r="593" spans="1:15" x14ac:dyDescent="0.25">
      <c r="A593" s="155" t="s">
        <v>4273</v>
      </c>
      <c r="B593" s="124">
        <v>0</v>
      </c>
      <c r="C593" s="125" t="s">
        <v>93</v>
      </c>
      <c r="D593" s="125" t="s">
        <v>1927</v>
      </c>
      <c r="E593" s="126" t="s">
        <v>2139</v>
      </c>
      <c r="F593" s="125" t="s">
        <v>2187</v>
      </c>
      <c r="G593" s="125" t="s">
        <v>277</v>
      </c>
      <c r="H593" s="125" t="s">
        <v>278</v>
      </c>
      <c r="I593" s="125" t="s">
        <v>2320</v>
      </c>
      <c r="J593" s="127"/>
      <c r="K593" s="124">
        <v>1</v>
      </c>
      <c r="L593" s="124" t="s">
        <v>605</v>
      </c>
      <c r="M593" s="125" t="s">
        <v>91</v>
      </c>
      <c r="N593" s="155" t="s">
        <v>80</v>
      </c>
      <c r="O593" s="155"/>
    </row>
    <row r="594" spans="1:15" x14ac:dyDescent="0.25">
      <c r="A594" s="151" t="s">
        <v>4273</v>
      </c>
      <c r="B594" s="152">
        <v>1</v>
      </c>
      <c r="C594" s="153" t="s">
        <v>4144</v>
      </c>
      <c r="D594" s="61" t="s">
        <v>6776</v>
      </c>
      <c r="E594" s="153"/>
      <c r="F594" s="153"/>
      <c r="G594" s="57" t="s">
        <v>4144</v>
      </c>
      <c r="H594" s="60"/>
      <c r="I594" s="153"/>
      <c r="J594" s="153"/>
      <c r="K594" s="153"/>
      <c r="L594" s="154" t="s">
        <v>605</v>
      </c>
      <c r="M594" s="153"/>
      <c r="N594" s="153" t="s">
        <v>80</v>
      </c>
      <c r="O594" s="153"/>
    </row>
    <row r="595" spans="1:15" x14ac:dyDescent="0.25">
      <c r="A595" s="151" t="s">
        <v>4273</v>
      </c>
      <c r="B595" s="152">
        <v>2</v>
      </c>
      <c r="C595" s="153" t="s">
        <v>4145</v>
      </c>
      <c r="D595" s="61" t="s">
        <v>6775</v>
      </c>
      <c r="E595" s="153"/>
      <c r="F595" s="153"/>
      <c r="G595" s="57" t="s">
        <v>465</v>
      </c>
      <c r="H595" s="57" t="s">
        <v>5084</v>
      </c>
      <c r="I595" s="153"/>
      <c r="J595" s="153"/>
      <c r="K595" s="153"/>
      <c r="L595" s="154" t="s">
        <v>605</v>
      </c>
      <c r="M595" s="153" t="s">
        <v>100</v>
      </c>
      <c r="N595" s="153" t="s">
        <v>80</v>
      </c>
      <c r="O595" s="153" t="s">
        <v>6951</v>
      </c>
    </row>
    <row r="596" spans="1:15" x14ac:dyDescent="0.25">
      <c r="A596" s="155" t="s">
        <v>4273</v>
      </c>
      <c r="B596" s="124">
        <v>3</v>
      </c>
      <c r="C596" s="125" t="s">
        <v>6443</v>
      </c>
      <c r="D596" s="125" t="s">
        <v>6746</v>
      </c>
      <c r="E596" s="126"/>
      <c r="F596" s="125"/>
      <c r="G596" s="125"/>
      <c r="H596" s="125"/>
      <c r="I596" s="125"/>
      <c r="J596" s="127"/>
      <c r="K596" s="124"/>
      <c r="L596" s="128" t="s">
        <v>605</v>
      </c>
      <c r="M596" s="62" t="s">
        <v>91</v>
      </c>
      <c r="N596" s="155" t="s">
        <v>80</v>
      </c>
      <c r="O596" s="155"/>
    </row>
    <row r="597" spans="1:15" x14ac:dyDescent="0.25">
      <c r="A597" s="155" t="s">
        <v>4273</v>
      </c>
      <c r="B597" s="124">
        <v>4</v>
      </c>
      <c r="C597" s="125" t="s">
        <v>116</v>
      </c>
      <c r="D597" s="127" t="s">
        <v>6747</v>
      </c>
      <c r="E597" s="126"/>
      <c r="F597" s="125"/>
      <c r="G597" s="125"/>
      <c r="H597" s="125"/>
      <c r="I597" s="125"/>
      <c r="J597" s="127"/>
      <c r="K597" s="124"/>
      <c r="L597" s="128" t="s">
        <v>605</v>
      </c>
      <c r="M597" s="125" t="s">
        <v>100</v>
      </c>
      <c r="N597" s="155" t="s">
        <v>80</v>
      </c>
      <c r="O597" s="155"/>
    </row>
    <row r="598" spans="1:15" x14ac:dyDescent="0.25">
      <c r="A598" s="155" t="s">
        <v>4273</v>
      </c>
      <c r="B598" s="124">
        <v>5</v>
      </c>
      <c r="C598" s="125" t="s">
        <v>6946</v>
      </c>
      <c r="D598" s="127" t="s">
        <v>6778</v>
      </c>
      <c r="E598" s="126"/>
      <c r="F598" s="125"/>
      <c r="G598" s="125"/>
      <c r="H598" s="125"/>
      <c r="I598" s="125"/>
      <c r="J598" s="127"/>
      <c r="K598" s="124"/>
      <c r="L598" s="128" t="s">
        <v>605</v>
      </c>
      <c r="M598" s="125" t="s">
        <v>100</v>
      </c>
      <c r="N598" s="155" t="s">
        <v>80</v>
      </c>
      <c r="O598" s="155"/>
    </row>
    <row r="599" spans="1:15" x14ac:dyDescent="0.25">
      <c r="A599" s="151" t="s">
        <v>4273</v>
      </c>
      <c r="B599" s="152">
        <v>6</v>
      </c>
      <c r="C599" s="153" t="s">
        <v>4274</v>
      </c>
      <c r="D599" s="153"/>
      <c r="E599" s="153"/>
      <c r="F599" s="153"/>
      <c r="G599" s="57" t="s">
        <v>5344</v>
      </c>
      <c r="H599" s="57" t="s">
        <v>5345</v>
      </c>
      <c r="I599" s="153"/>
      <c r="J599" s="153"/>
      <c r="K599" s="153"/>
      <c r="L599" s="154">
        <v>0</v>
      </c>
      <c r="M599" s="153" t="s">
        <v>262</v>
      </c>
      <c r="N599" s="153" t="s">
        <v>80</v>
      </c>
      <c r="O599" s="153"/>
    </row>
    <row r="600" spans="1:15" x14ac:dyDescent="0.25">
      <c r="A600" s="151" t="s">
        <v>4273</v>
      </c>
      <c r="B600" s="152">
        <v>7</v>
      </c>
      <c r="C600" s="153" t="s">
        <v>4275</v>
      </c>
      <c r="D600" s="153"/>
      <c r="E600" s="153"/>
      <c r="F600" s="153"/>
      <c r="G600" s="57" t="s">
        <v>5346</v>
      </c>
      <c r="H600" s="57" t="s">
        <v>5347</v>
      </c>
      <c r="I600" s="153"/>
      <c r="J600" s="153"/>
      <c r="K600" s="153"/>
      <c r="L600" s="154">
        <v>0</v>
      </c>
      <c r="M600" s="153" t="s">
        <v>100</v>
      </c>
      <c r="N600" s="153" t="s">
        <v>80</v>
      </c>
      <c r="O600" s="153"/>
    </row>
    <row r="601" spans="1:15" x14ac:dyDescent="0.25">
      <c r="A601" s="151" t="s">
        <v>4273</v>
      </c>
      <c r="B601" s="152">
        <v>8</v>
      </c>
      <c r="C601" s="153" t="s">
        <v>4276</v>
      </c>
      <c r="D601" s="153"/>
      <c r="E601" s="153"/>
      <c r="F601" s="153"/>
      <c r="G601" s="57" t="s">
        <v>5348</v>
      </c>
      <c r="H601" s="57" t="s">
        <v>5349</v>
      </c>
      <c r="I601" s="153"/>
      <c r="J601" s="153"/>
      <c r="K601" s="153"/>
      <c r="L601" s="154">
        <v>0</v>
      </c>
      <c r="M601" s="153" t="s">
        <v>262</v>
      </c>
      <c r="N601" s="153" t="s">
        <v>80</v>
      </c>
      <c r="O601" s="153"/>
    </row>
    <row r="602" spans="1:15" x14ac:dyDescent="0.25">
      <c r="A602" s="151" t="s">
        <v>4273</v>
      </c>
      <c r="B602" s="152">
        <v>9</v>
      </c>
      <c r="C602" s="153" t="s">
        <v>4283</v>
      </c>
      <c r="D602" s="153"/>
      <c r="E602" s="153"/>
      <c r="F602" s="153"/>
      <c r="G602" s="57" t="s">
        <v>5362</v>
      </c>
      <c r="H602" s="57" t="s">
        <v>5363</v>
      </c>
      <c r="I602" s="153"/>
      <c r="J602" s="153"/>
      <c r="K602" s="153"/>
      <c r="L602" s="154">
        <v>0</v>
      </c>
      <c r="M602" s="153" t="s">
        <v>262</v>
      </c>
      <c r="N602" s="153" t="s">
        <v>80</v>
      </c>
      <c r="O602" s="153"/>
    </row>
    <row r="603" spans="1:15" x14ac:dyDescent="0.25">
      <c r="A603" s="151" t="s">
        <v>4273</v>
      </c>
      <c r="B603" s="152">
        <v>9</v>
      </c>
      <c r="C603" s="153" t="s">
        <v>4277</v>
      </c>
      <c r="D603" s="153"/>
      <c r="E603" s="153"/>
      <c r="F603" s="153"/>
      <c r="G603" s="57" t="s">
        <v>5350</v>
      </c>
      <c r="H603" s="57" t="s">
        <v>5351</v>
      </c>
      <c r="I603" s="153"/>
      <c r="J603" s="153"/>
      <c r="K603" s="153"/>
      <c r="L603" s="154">
        <v>0</v>
      </c>
      <c r="M603" s="153" t="s">
        <v>262</v>
      </c>
      <c r="N603" s="153" t="s">
        <v>80</v>
      </c>
      <c r="O603" s="153"/>
    </row>
    <row r="604" spans="1:15" x14ac:dyDescent="0.25">
      <c r="A604" s="151" t="s">
        <v>4273</v>
      </c>
      <c r="B604" s="152">
        <v>10</v>
      </c>
      <c r="C604" s="153" t="s">
        <v>4284</v>
      </c>
      <c r="D604" s="153"/>
      <c r="E604" s="153"/>
      <c r="F604" s="153"/>
      <c r="G604" s="57" t="s">
        <v>5364</v>
      </c>
      <c r="H604" s="57" t="s">
        <v>5365</v>
      </c>
      <c r="I604" s="153"/>
      <c r="J604" s="153"/>
      <c r="K604" s="153"/>
      <c r="L604" s="154">
        <v>0</v>
      </c>
      <c r="M604" s="153" t="s">
        <v>262</v>
      </c>
      <c r="N604" s="153" t="s">
        <v>80</v>
      </c>
      <c r="O604" s="153"/>
    </row>
    <row r="605" spans="1:15" x14ac:dyDescent="0.25">
      <c r="A605" s="151" t="s">
        <v>4273</v>
      </c>
      <c r="B605" s="152">
        <v>10</v>
      </c>
      <c r="C605" s="153" t="s">
        <v>4278</v>
      </c>
      <c r="D605" s="153"/>
      <c r="E605" s="153"/>
      <c r="F605" s="153"/>
      <c r="G605" s="57" t="s">
        <v>5352</v>
      </c>
      <c r="H605" s="57" t="s">
        <v>5353</v>
      </c>
      <c r="I605" s="153"/>
      <c r="J605" s="153"/>
      <c r="K605" s="153"/>
      <c r="L605" s="154">
        <v>0</v>
      </c>
      <c r="M605" s="153" t="s">
        <v>262</v>
      </c>
      <c r="N605" s="153" t="s">
        <v>80</v>
      </c>
      <c r="O605" s="153"/>
    </row>
    <row r="606" spans="1:15" x14ac:dyDescent="0.25">
      <c r="A606" s="151" t="s">
        <v>4273</v>
      </c>
      <c r="B606" s="152">
        <v>11</v>
      </c>
      <c r="C606" s="153" t="s">
        <v>4279</v>
      </c>
      <c r="D606" s="153"/>
      <c r="E606" s="153"/>
      <c r="F606" s="153"/>
      <c r="G606" s="57" t="s">
        <v>5354</v>
      </c>
      <c r="H606" s="57" t="s">
        <v>5355</v>
      </c>
      <c r="I606" s="153"/>
      <c r="J606" s="153"/>
      <c r="K606" s="153"/>
      <c r="L606" s="154">
        <v>0</v>
      </c>
      <c r="M606" s="153" t="s">
        <v>195</v>
      </c>
      <c r="N606" s="153" t="s">
        <v>80</v>
      </c>
      <c r="O606" s="153"/>
    </row>
    <row r="607" spans="1:15" x14ac:dyDescent="0.25">
      <c r="A607" s="151" t="s">
        <v>4273</v>
      </c>
      <c r="B607" s="152">
        <v>12</v>
      </c>
      <c r="C607" s="153" t="s">
        <v>4280</v>
      </c>
      <c r="D607" s="153"/>
      <c r="E607" s="153"/>
      <c r="F607" s="153"/>
      <c r="G607" s="57" t="s">
        <v>5356</v>
      </c>
      <c r="H607" s="57" t="s">
        <v>5357</v>
      </c>
      <c r="I607" s="153"/>
      <c r="J607" s="153"/>
      <c r="K607" s="153"/>
      <c r="L607" s="154">
        <v>0</v>
      </c>
      <c r="M607" s="153" t="s">
        <v>262</v>
      </c>
      <c r="N607" s="153" t="s">
        <v>80</v>
      </c>
      <c r="O607" s="153"/>
    </row>
    <row r="608" spans="1:15" x14ac:dyDescent="0.25">
      <c r="A608" s="151" t="s">
        <v>4273</v>
      </c>
      <c r="B608" s="152">
        <v>13</v>
      </c>
      <c r="C608" s="153" t="s">
        <v>4281</v>
      </c>
      <c r="D608" s="153"/>
      <c r="E608" s="153"/>
      <c r="F608" s="153"/>
      <c r="G608" s="57" t="s">
        <v>5358</v>
      </c>
      <c r="H608" s="57" t="s">
        <v>5359</v>
      </c>
      <c r="I608" s="153"/>
      <c r="J608" s="153"/>
      <c r="K608" s="153"/>
      <c r="L608" s="154">
        <v>0</v>
      </c>
      <c r="M608" s="153" t="s">
        <v>262</v>
      </c>
      <c r="N608" s="153" t="s">
        <v>80</v>
      </c>
      <c r="O608" s="153"/>
    </row>
    <row r="609" spans="1:15" x14ac:dyDescent="0.25">
      <c r="A609" s="151" t="s">
        <v>4273</v>
      </c>
      <c r="B609" s="152">
        <v>13</v>
      </c>
      <c r="C609" s="153" t="s">
        <v>4285</v>
      </c>
      <c r="D609" s="153"/>
      <c r="E609" s="153"/>
      <c r="F609" s="153"/>
      <c r="G609" s="57" t="s">
        <v>5366</v>
      </c>
      <c r="H609" s="57" t="s">
        <v>5367</v>
      </c>
      <c r="I609" s="153"/>
      <c r="J609" s="153"/>
      <c r="K609" s="153"/>
      <c r="L609" s="154">
        <v>0</v>
      </c>
      <c r="M609" s="153" t="s">
        <v>262</v>
      </c>
      <c r="N609" s="153" t="s">
        <v>80</v>
      </c>
      <c r="O609" s="153"/>
    </row>
    <row r="610" spans="1:15" x14ac:dyDescent="0.25">
      <c r="A610" s="151" t="s">
        <v>4273</v>
      </c>
      <c r="B610" s="152">
        <v>13</v>
      </c>
      <c r="C610" s="153" t="s">
        <v>4282</v>
      </c>
      <c r="D610" s="153"/>
      <c r="E610" s="153"/>
      <c r="F610" s="153"/>
      <c r="G610" s="57" t="s">
        <v>5360</v>
      </c>
      <c r="H610" s="57" t="s">
        <v>5361</v>
      </c>
      <c r="I610" s="153"/>
      <c r="J610" s="153"/>
      <c r="K610" s="153"/>
      <c r="L610" s="154">
        <v>0</v>
      </c>
      <c r="M610" s="153" t="s">
        <v>262</v>
      </c>
      <c r="N610" s="153" t="s">
        <v>80</v>
      </c>
      <c r="O610" s="153"/>
    </row>
    <row r="611" spans="1:15" x14ac:dyDescent="0.25">
      <c r="A611" s="151" t="s">
        <v>4273</v>
      </c>
      <c r="B611" s="152">
        <v>14</v>
      </c>
      <c r="C611" s="153" t="s">
        <v>4286</v>
      </c>
      <c r="D611" s="153"/>
      <c r="E611" s="153"/>
      <c r="F611" s="153"/>
      <c r="G611" s="57" t="s">
        <v>5368</v>
      </c>
      <c r="H611" s="57" t="s">
        <v>5369</v>
      </c>
      <c r="I611" s="153"/>
      <c r="J611" s="153"/>
      <c r="K611" s="153"/>
      <c r="L611" s="154">
        <v>0</v>
      </c>
      <c r="M611" s="153" t="s">
        <v>165</v>
      </c>
      <c r="N611" s="153" t="s">
        <v>80</v>
      </c>
      <c r="O611" s="153"/>
    </row>
    <row r="612" spans="1:15" x14ac:dyDescent="0.25">
      <c r="A612" s="151" t="s">
        <v>4273</v>
      </c>
      <c r="B612" s="152">
        <v>15</v>
      </c>
      <c r="C612" s="153" t="s">
        <v>4287</v>
      </c>
      <c r="D612" s="153"/>
      <c r="E612" s="153"/>
      <c r="F612" s="153"/>
      <c r="G612" s="57" t="s">
        <v>5370</v>
      </c>
      <c r="H612" s="57" t="s">
        <v>5371</v>
      </c>
      <c r="I612" s="153"/>
      <c r="J612" s="153"/>
      <c r="K612" s="153"/>
      <c r="L612" s="154">
        <v>0</v>
      </c>
      <c r="M612" s="153" t="s">
        <v>262</v>
      </c>
      <c r="N612" s="153" t="s">
        <v>80</v>
      </c>
      <c r="O612" s="153"/>
    </row>
    <row r="613" spans="1:15" x14ac:dyDescent="0.25">
      <c r="A613" s="151" t="s">
        <v>4273</v>
      </c>
      <c r="B613" s="152">
        <v>16</v>
      </c>
      <c r="C613" s="153" t="s">
        <v>4288</v>
      </c>
      <c r="D613" s="153"/>
      <c r="E613" s="153"/>
      <c r="F613" s="153"/>
      <c r="G613" s="57" t="s">
        <v>5372</v>
      </c>
      <c r="H613" s="57" t="s">
        <v>5373</v>
      </c>
      <c r="I613" s="153"/>
      <c r="J613" s="153"/>
      <c r="K613" s="153"/>
      <c r="L613" s="154">
        <v>0</v>
      </c>
      <c r="M613" s="153" t="s">
        <v>262</v>
      </c>
      <c r="N613" s="153" t="s">
        <v>80</v>
      </c>
      <c r="O613" s="153"/>
    </row>
    <row r="614" spans="1:15" x14ac:dyDescent="0.25">
      <c r="A614" s="151" t="s">
        <v>4273</v>
      </c>
      <c r="B614" s="152">
        <v>17</v>
      </c>
      <c r="C614" s="153" t="s">
        <v>4289</v>
      </c>
      <c r="D614" s="153"/>
      <c r="E614" s="153"/>
      <c r="F614" s="153"/>
      <c r="G614" s="57" t="s">
        <v>5374</v>
      </c>
      <c r="H614" s="57" t="s">
        <v>5375</v>
      </c>
      <c r="I614" s="153"/>
      <c r="J614" s="153"/>
      <c r="K614" s="153"/>
      <c r="L614" s="154">
        <v>0</v>
      </c>
      <c r="M614" s="153" t="s">
        <v>262</v>
      </c>
      <c r="N614" s="153" t="s">
        <v>80</v>
      </c>
      <c r="O614" s="153"/>
    </row>
    <row r="615" spans="1:15" x14ac:dyDescent="0.25">
      <c r="A615" s="151" t="s">
        <v>4273</v>
      </c>
      <c r="B615" s="152">
        <v>18</v>
      </c>
      <c r="C615" s="153" t="s">
        <v>4290</v>
      </c>
      <c r="D615" s="153"/>
      <c r="E615" s="153"/>
      <c r="F615" s="153"/>
      <c r="G615" s="57" t="s">
        <v>5376</v>
      </c>
      <c r="H615" s="57" t="s">
        <v>5377</v>
      </c>
      <c r="I615" s="153"/>
      <c r="J615" s="153"/>
      <c r="K615" s="153"/>
      <c r="L615" s="154">
        <v>0</v>
      </c>
      <c r="M615" s="153" t="s">
        <v>195</v>
      </c>
      <c r="N615" s="153" t="s">
        <v>80</v>
      </c>
      <c r="O615" s="153"/>
    </row>
    <row r="616" spans="1:15" x14ac:dyDescent="0.25">
      <c r="A616" s="151" t="s">
        <v>4273</v>
      </c>
      <c r="B616" s="152">
        <v>19</v>
      </c>
      <c r="C616" s="153" t="s">
        <v>4291</v>
      </c>
      <c r="D616" s="153"/>
      <c r="E616" s="153"/>
      <c r="F616" s="153"/>
      <c r="G616" s="57" t="s">
        <v>5378</v>
      </c>
      <c r="H616" s="57" t="s">
        <v>5379</v>
      </c>
      <c r="I616" s="153"/>
      <c r="J616" s="153"/>
      <c r="K616" s="153"/>
      <c r="L616" s="154">
        <v>0</v>
      </c>
      <c r="M616" s="153" t="s">
        <v>262</v>
      </c>
      <c r="N616" s="153" t="s">
        <v>80</v>
      </c>
      <c r="O616" s="153"/>
    </row>
    <row r="617" spans="1:15" x14ac:dyDescent="0.25">
      <c r="A617" s="151" t="s">
        <v>4273</v>
      </c>
      <c r="B617" s="152">
        <v>20</v>
      </c>
      <c r="C617" s="153" t="s">
        <v>4292</v>
      </c>
      <c r="D617" s="153"/>
      <c r="E617" s="153"/>
      <c r="F617" s="153"/>
      <c r="G617" s="57" t="s">
        <v>5380</v>
      </c>
      <c r="H617" s="57" t="s">
        <v>5381</v>
      </c>
      <c r="I617" s="153"/>
      <c r="J617" s="153"/>
      <c r="K617" s="153"/>
      <c r="L617" s="154">
        <v>0</v>
      </c>
      <c r="M617" s="153" t="s">
        <v>262</v>
      </c>
      <c r="N617" s="153" t="s">
        <v>80</v>
      </c>
      <c r="O617" s="153"/>
    </row>
    <row r="618" spans="1:15" x14ac:dyDescent="0.25">
      <c r="A618" s="151" t="s">
        <v>4273</v>
      </c>
      <c r="B618" s="152">
        <v>21</v>
      </c>
      <c r="C618" s="153" t="s">
        <v>4293</v>
      </c>
      <c r="D618" s="153"/>
      <c r="E618" s="153"/>
      <c r="F618" s="153"/>
      <c r="G618" s="57" t="s">
        <v>5382</v>
      </c>
      <c r="H618" s="57" t="s">
        <v>5383</v>
      </c>
      <c r="I618" s="153"/>
      <c r="J618" s="153"/>
      <c r="K618" s="153"/>
      <c r="L618" s="154">
        <v>0</v>
      </c>
      <c r="M618" s="153" t="s">
        <v>262</v>
      </c>
      <c r="N618" s="153" t="s">
        <v>80</v>
      </c>
      <c r="O618" s="153"/>
    </row>
    <row r="619" spans="1:15" x14ac:dyDescent="0.25">
      <c r="A619" s="151" t="s">
        <v>4273</v>
      </c>
      <c r="B619" s="152">
        <v>22</v>
      </c>
      <c r="C619" s="153" t="s">
        <v>4294</v>
      </c>
      <c r="D619" s="153"/>
      <c r="E619" s="153"/>
      <c r="F619" s="153"/>
      <c r="G619" s="57" t="s">
        <v>5384</v>
      </c>
      <c r="H619" s="57" t="s">
        <v>5385</v>
      </c>
      <c r="I619" s="153"/>
      <c r="J619" s="153"/>
      <c r="K619" s="153"/>
      <c r="L619" s="154">
        <v>0</v>
      </c>
      <c r="M619" s="153" t="s">
        <v>195</v>
      </c>
      <c r="N619" s="153" t="s">
        <v>80</v>
      </c>
      <c r="O619" s="153"/>
    </row>
    <row r="620" spans="1:15" x14ac:dyDescent="0.25">
      <c r="A620" s="151" t="s">
        <v>4273</v>
      </c>
      <c r="B620" s="152">
        <v>23</v>
      </c>
      <c r="C620" s="153" t="s">
        <v>4295</v>
      </c>
      <c r="D620" s="153"/>
      <c r="E620" s="153"/>
      <c r="F620" s="153"/>
      <c r="G620" s="57" t="s">
        <v>5386</v>
      </c>
      <c r="H620" s="57" t="s">
        <v>5387</v>
      </c>
      <c r="I620" s="153"/>
      <c r="J620" s="153"/>
      <c r="K620" s="153"/>
      <c r="L620" s="154">
        <v>0</v>
      </c>
      <c r="M620" s="153" t="s">
        <v>262</v>
      </c>
      <c r="N620" s="153" t="s">
        <v>80</v>
      </c>
      <c r="O620" s="153"/>
    </row>
    <row r="621" spans="1:15" x14ac:dyDescent="0.25">
      <c r="A621" s="151" t="s">
        <v>4273</v>
      </c>
      <c r="B621" s="152">
        <v>24</v>
      </c>
      <c r="C621" s="153" t="s">
        <v>4297</v>
      </c>
      <c r="D621" s="153"/>
      <c r="E621" s="153"/>
      <c r="F621" s="153"/>
      <c r="G621" s="57" t="s">
        <v>5390</v>
      </c>
      <c r="H621" s="57" t="s">
        <v>5391</v>
      </c>
      <c r="I621" s="153"/>
      <c r="J621" s="153"/>
      <c r="K621" s="153"/>
      <c r="L621" s="154">
        <v>0</v>
      </c>
      <c r="M621" s="153" t="s">
        <v>262</v>
      </c>
      <c r="N621" s="153" t="s">
        <v>80</v>
      </c>
      <c r="O621" s="153"/>
    </row>
    <row r="622" spans="1:15" x14ac:dyDescent="0.25">
      <c r="A622" s="151" t="s">
        <v>4273</v>
      </c>
      <c r="B622" s="152">
        <v>24</v>
      </c>
      <c r="C622" s="153" t="s">
        <v>4296</v>
      </c>
      <c r="D622" s="153"/>
      <c r="E622" s="153"/>
      <c r="F622" s="153"/>
      <c r="G622" s="57" t="s">
        <v>5388</v>
      </c>
      <c r="H622" s="57" t="s">
        <v>5389</v>
      </c>
      <c r="I622" s="153"/>
      <c r="J622" s="153"/>
      <c r="K622" s="153"/>
      <c r="L622" s="154">
        <v>0</v>
      </c>
      <c r="M622" s="153" t="s">
        <v>262</v>
      </c>
      <c r="N622" s="153" t="s">
        <v>80</v>
      </c>
      <c r="O622" s="153"/>
    </row>
    <row r="623" spans="1:15" x14ac:dyDescent="0.25">
      <c r="A623" s="151" t="s">
        <v>4273</v>
      </c>
      <c r="B623" s="152">
        <v>25</v>
      </c>
      <c r="C623" s="153" t="s">
        <v>4298</v>
      </c>
      <c r="D623" s="153"/>
      <c r="E623" s="153"/>
      <c r="F623" s="153"/>
      <c r="G623" s="57" t="s">
        <v>5392</v>
      </c>
      <c r="H623" s="57" t="s">
        <v>5393</v>
      </c>
      <c r="I623" s="153"/>
      <c r="J623" s="153"/>
      <c r="K623" s="153"/>
      <c r="L623" s="154">
        <v>0</v>
      </c>
      <c r="M623" s="153" t="s">
        <v>262</v>
      </c>
      <c r="N623" s="153" t="s">
        <v>80</v>
      </c>
      <c r="O623" s="153"/>
    </row>
    <row r="624" spans="1:15" x14ac:dyDescent="0.25">
      <c r="A624" s="151" t="s">
        <v>4273</v>
      </c>
      <c r="B624" s="152">
        <v>26</v>
      </c>
      <c r="C624" s="153" t="s">
        <v>4299</v>
      </c>
      <c r="D624" s="153"/>
      <c r="E624" s="153"/>
      <c r="F624" s="153"/>
      <c r="G624" s="57" t="s">
        <v>5394</v>
      </c>
      <c r="H624" s="57" t="s">
        <v>5395</v>
      </c>
      <c r="I624" s="153"/>
      <c r="J624" s="153"/>
      <c r="K624" s="153"/>
      <c r="L624" s="154">
        <v>0</v>
      </c>
      <c r="M624" s="153" t="s">
        <v>262</v>
      </c>
      <c r="N624" s="153" t="s">
        <v>80</v>
      </c>
      <c r="O624" s="153"/>
    </row>
    <row r="625" spans="1:15" x14ac:dyDescent="0.25">
      <c r="A625" s="155" t="s">
        <v>4315</v>
      </c>
      <c r="B625" s="124">
        <v>0</v>
      </c>
      <c r="C625" s="125" t="s">
        <v>93</v>
      </c>
      <c r="D625" s="125" t="s">
        <v>1927</v>
      </c>
      <c r="E625" s="126" t="s">
        <v>2139</v>
      </c>
      <c r="F625" s="125" t="s">
        <v>2187</v>
      </c>
      <c r="G625" s="125" t="s">
        <v>277</v>
      </c>
      <c r="H625" s="125" t="s">
        <v>278</v>
      </c>
      <c r="I625" s="125" t="s">
        <v>2320</v>
      </c>
      <c r="J625" s="127"/>
      <c r="K625" s="124">
        <v>1</v>
      </c>
      <c r="L625" s="124" t="s">
        <v>605</v>
      </c>
      <c r="M625" s="125" t="s">
        <v>91</v>
      </c>
      <c r="N625" s="155" t="s">
        <v>80</v>
      </c>
      <c r="O625" s="155"/>
    </row>
    <row r="626" spans="1:15" s="123" customFormat="1" x14ac:dyDescent="0.25">
      <c r="A626" s="155" t="s">
        <v>4315</v>
      </c>
      <c r="B626" s="156">
        <v>1</v>
      </c>
      <c r="C626" s="155" t="s">
        <v>4144</v>
      </c>
      <c r="D626" s="155" t="s">
        <v>6776</v>
      </c>
      <c r="E626" s="155"/>
      <c r="F626" s="155"/>
      <c r="G626" s="126" t="s">
        <v>4144</v>
      </c>
      <c r="H626" s="157"/>
      <c r="I626" s="155"/>
      <c r="J626" s="155"/>
      <c r="K626" s="155"/>
      <c r="L626" s="156" t="s">
        <v>605</v>
      </c>
      <c r="M626" s="155"/>
      <c r="N626" s="155" t="s">
        <v>80</v>
      </c>
      <c r="O626" s="155"/>
    </row>
    <row r="627" spans="1:15" s="123" customFormat="1" x14ac:dyDescent="0.25">
      <c r="A627" s="155" t="s">
        <v>4315</v>
      </c>
      <c r="B627" s="156">
        <v>2</v>
      </c>
      <c r="C627" s="155" t="s">
        <v>4145</v>
      </c>
      <c r="D627" s="125" t="s">
        <v>6775</v>
      </c>
      <c r="E627" s="155"/>
      <c r="F627" s="155"/>
      <c r="G627" s="126" t="s">
        <v>465</v>
      </c>
      <c r="H627" s="126" t="s">
        <v>5084</v>
      </c>
      <c r="I627" s="155"/>
      <c r="J627" s="155"/>
      <c r="K627" s="155"/>
      <c r="L627" s="156" t="s">
        <v>605</v>
      </c>
      <c r="M627" s="155" t="s">
        <v>100</v>
      </c>
      <c r="N627" s="155" t="s">
        <v>80</v>
      </c>
      <c r="O627" s="155" t="s">
        <v>6951</v>
      </c>
    </row>
    <row r="628" spans="1:15" x14ac:dyDescent="0.25">
      <c r="A628" s="155" t="s">
        <v>4315</v>
      </c>
      <c r="B628" s="124">
        <v>3</v>
      </c>
      <c r="C628" s="125" t="s">
        <v>6443</v>
      </c>
      <c r="D628" s="125" t="s">
        <v>6746</v>
      </c>
      <c r="E628" s="126"/>
      <c r="F628" s="125"/>
      <c r="G628" s="125"/>
      <c r="H628" s="125"/>
      <c r="I628" s="125"/>
      <c r="J628" s="127"/>
      <c r="K628" s="124"/>
      <c r="L628" s="128" t="s">
        <v>605</v>
      </c>
      <c r="M628" s="62" t="s">
        <v>91</v>
      </c>
      <c r="N628" s="155" t="s">
        <v>80</v>
      </c>
      <c r="O628" s="155"/>
    </row>
    <row r="629" spans="1:15" x14ac:dyDescent="0.25">
      <c r="A629" s="155" t="s">
        <v>4315</v>
      </c>
      <c r="B629" s="124">
        <v>4</v>
      </c>
      <c r="C629" s="125" t="s">
        <v>116</v>
      </c>
      <c r="D629" s="127" t="s">
        <v>6747</v>
      </c>
      <c r="E629" s="126"/>
      <c r="F629" s="125"/>
      <c r="G629" s="125"/>
      <c r="H629" s="125"/>
      <c r="I629" s="125"/>
      <c r="J629" s="127"/>
      <c r="K629" s="124"/>
      <c r="L629" s="128" t="s">
        <v>605</v>
      </c>
      <c r="M629" s="125" t="s">
        <v>100</v>
      </c>
      <c r="N629" s="155" t="s">
        <v>80</v>
      </c>
      <c r="O629" s="155"/>
    </row>
    <row r="630" spans="1:15" x14ac:dyDescent="0.25">
      <c r="A630" s="155" t="s">
        <v>4315</v>
      </c>
      <c r="B630" s="124">
        <v>5</v>
      </c>
      <c r="C630" s="125" t="s">
        <v>6946</v>
      </c>
      <c r="D630" s="127" t="s">
        <v>6778</v>
      </c>
      <c r="E630" s="126"/>
      <c r="F630" s="125"/>
      <c r="G630" s="125"/>
      <c r="H630" s="125"/>
      <c r="I630" s="125"/>
      <c r="J630" s="127"/>
      <c r="K630" s="124"/>
      <c r="L630" s="128" t="s">
        <v>605</v>
      </c>
      <c r="M630" s="125" t="s">
        <v>100</v>
      </c>
      <c r="N630" s="155" t="s">
        <v>80</v>
      </c>
      <c r="O630" s="155"/>
    </row>
    <row r="631" spans="1:15" x14ac:dyDescent="0.25">
      <c r="A631" s="151" t="s">
        <v>4315</v>
      </c>
      <c r="B631" s="152">
        <v>6</v>
      </c>
      <c r="C631" s="153" t="s">
        <v>4319</v>
      </c>
      <c r="D631" s="153"/>
      <c r="E631" s="153"/>
      <c r="F631" s="153"/>
      <c r="G631" s="57" t="s">
        <v>5429</v>
      </c>
      <c r="H631" s="57" t="s">
        <v>5430</v>
      </c>
      <c r="I631" s="153"/>
      <c r="J631" s="153"/>
      <c r="K631" s="153"/>
      <c r="L631" s="154">
        <v>0</v>
      </c>
      <c r="M631" s="153" t="s">
        <v>262</v>
      </c>
      <c r="N631" s="153" t="s">
        <v>80</v>
      </c>
      <c r="O631" s="153"/>
    </row>
    <row r="632" spans="1:15" x14ac:dyDescent="0.25">
      <c r="A632" s="151" t="s">
        <v>4315</v>
      </c>
      <c r="B632" s="152">
        <v>7</v>
      </c>
      <c r="C632" s="153" t="s">
        <v>4318</v>
      </c>
      <c r="D632" s="153"/>
      <c r="E632" s="153"/>
      <c r="F632" s="153"/>
      <c r="G632" s="57" t="s">
        <v>5427</v>
      </c>
      <c r="H632" s="57" t="s">
        <v>5428</v>
      </c>
      <c r="I632" s="153"/>
      <c r="J632" s="153"/>
      <c r="K632" s="153"/>
      <c r="L632" s="154">
        <v>0</v>
      </c>
      <c r="M632" s="153" t="s">
        <v>262</v>
      </c>
      <c r="N632" s="153" t="s">
        <v>80</v>
      </c>
      <c r="O632" s="153"/>
    </row>
    <row r="633" spans="1:15" x14ac:dyDescent="0.25">
      <c r="A633" s="151" t="s">
        <v>4315</v>
      </c>
      <c r="B633" s="152">
        <v>8</v>
      </c>
      <c r="C633" s="153" t="s">
        <v>4320</v>
      </c>
      <c r="D633" s="153"/>
      <c r="E633" s="153"/>
      <c r="F633" s="153"/>
      <c r="G633" s="57" t="s">
        <v>5431</v>
      </c>
      <c r="H633" s="57" t="s">
        <v>5432</v>
      </c>
      <c r="I633" s="153"/>
      <c r="J633" s="153"/>
      <c r="K633" s="153"/>
      <c r="L633" s="154">
        <v>0</v>
      </c>
      <c r="M633" s="153" t="s">
        <v>262</v>
      </c>
      <c r="N633" s="153" t="s">
        <v>80</v>
      </c>
      <c r="O633" s="153"/>
    </row>
    <row r="634" spans="1:15" x14ac:dyDescent="0.25">
      <c r="A634" s="151" t="s">
        <v>4315</v>
      </c>
      <c r="B634" s="152">
        <v>9</v>
      </c>
      <c r="C634" s="153" t="s">
        <v>4317</v>
      </c>
      <c r="D634" s="153"/>
      <c r="E634" s="153"/>
      <c r="F634" s="153"/>
      <c r="G634" s="57" t="s">
        <v>5425</v>
      </c>
      <c r="H634" s="57" t="s">
        <v>5426</v>
      </c>
      <c r="I634" s="153"/>
      <c r="J634" s="153"/>
      <c r="K634" s="153"/>
      <c r="L634" s="154">
        <v>0</v>
      </c>
      <c r="M634" s="153" t="s">
        <v>262</v>
      </c>
      <c r="N634" s="153" t="s">
        <v>80</v>
      </c>
      <c r="O634" s="153"/>
    </row>
    <row r="635" spans="1:15" x14ac:dyDescent="0.25">
      <c r="A635" s="151" t="s">
        <v>4315</v>
      </c>
      <c r="B635" s="152">
        <v>10</v>
      </c>
      <c r="C635" s="153" t="s">
        <v>4321</v>
      </c>
      <c r="D635" s="153"/>
      <c r="E635" s="153"/>
      <c r="F635" s="153"/>
      <c r="G635" s="57" t="s">
        <v>5433</v>
      </c>
      <c r="H635" s="57" t="s">
        <v>5434</v>
      </c>
      <c r="I635" s="153"/>
      <c r="J635" s="153"/>
      <c r="K635" s="153"/>
      <c r="L635" s="154">
        <v>0</v>
      </c>
      <c r="M635" s="153" t="s">
        <v>262</v>
      </c>
      <c r="N635" s="153" t="s">
        <v>80</v>
      </c>
      <c r="O635" s="153"/>
    </row>
    <row r="636" spans="1:15" x14ac:dyDescent="0.25">
      <c r="A636" s="151" t="s">
        <v>4315</v>
      </c>
      <c r="B636" s="152">
        <v>11</v>
      </c>
      <c r="C636" s="153" t="s">
        <v>4316</v>
      </c>
      <c r="D636" s="153"/>
      <c r="E636" s="153"/>
      <c r="F636" s="153"/>
      <c r="G636" s="57" t="s">
        <v>5423</v>
      </c>
      <c r="H636" s="57" t="s">
        <v>5424</v>
      </c>
      <c r="I636" s="153"/>
      <c r="J636" s="153"/>
      <c r="K636" s="153"/>
      <c r="L636" s="154">
        <v>0</v>
      </c>
      <c r="M636" s="153" t="s">
        <v>262</v>
      </c>
      <c r="N636" s="153" t="s">
        <v>80</v>
      </c>
      <c r="O636" s="153"/>
    </row>
    <row r="637" spans="1:15" x14ac:dyDescent="0.25">
      <c r="A637" s="151" t="s">
        <v>4315</v>
      </c>
      <c r="B637" s="152">
        <v>12</v>
      </c>
      <c r="C637" s="153" t="s">
        <v>4322</v>
      </c>
      <c r="D637" s="153"/>
      <c r="E637" s="153"/>
      <c r="F637" s="153"/>
      <c r="G637" s="57" t="s">
        <v>5435</v>
      </c>
      <c r="H637" s="57" t="s">
        <v>5436</v>
      </c>
      <c r="I637" s="153"/>
      <c r="J637" s="153"/>
      <c r="K637" s="153"/>
      <c r="L637" s="154">
        <v>0</v>
      </c>
      <c r="M637" s="153" t="s">
        <v>6363</v>
      </c>
      <c r="N637" s="153" t="s">
        <v>80</v>
      </c>
      <c r="O637" s="153"/>
    </row>
    <row r="638" spans="1:15" x14ac:dyDescent="0.25">
      <c r="A638" s="155" t="s">
        <v>4300</v>
      </c>
      <c r="B638" s="124">
        <v>0</v>
      </c>
      <c r="C638" s="125" t="s">
        <v>93</v>
      </c>
      <c r="D638" s="125" t="s">
        <v>1927</v>
      </c>
      <c r="E638" s="126" t="s">
        <v>2139</v>
      </c>
      <c r="F638" s="125" t="s">
        <v>2187</v>
      </c>
      <c r="G638" s="125" t="s">
        <v>277</v>
      </c>
      <c r="H638" s="125" t="s">
        <v>278</v>
      </c>
      <c r="I638" s="125" t="s">
        <v>2320</v>
      </c>
      <c r="J638" s="127"/>
      <c r="K638" s="124">
        <v>1</v>
      </c>
      <c r="L638" s="124" t="s">
        <v>605</v>
      </c>
      <c r="M638" s="125" t="s">
        <v>91</v>
      </c>
      <c r="N638" s="155" t="s">
        <v>80</v>
      </c>
      <c r="O638" s="155"/>
    </row>
    <row r="639" spans="1:15" s="123" customFormat="1" x14ac:dyDescent="0.25">
      <c r="A639" s="155" t="s">
        <v>4300</v>
      </c>
      <c r="B639" s="156">
        <v>1</v>
      </c>
      <c r="C639" s="155" t="s">
        <v>4144</v>
      </c>
      <c r="D639" s="155" t="s">
        <v>6776</v>
      </c>
      <c r="E639" s="155"/>
      <c r="F639" s="155"/>
      <c r="G639" s="126" t="s">
        <v>4144</v>
      </c>
      <c r="H639" s="157"/>
      <c r="I639" s="155"/>
      <c r="J639" s="155"/>
      <c r="K639" s="155"/>
      <c r="L639" s="156" t="s">
        <v>605</v>
      </c>
      <c r="M639" s="155"/>
      <c r="N639" s="155" t="s">
        <v>80</v>
      </c>
      <c r="O639" s="155"/>
    </row>
    <row r="640" spans="1:15" s="123" customFormat="1" x14ac:dyDescent="0.25">
      <c r="A640" s="155" t="s">
        <v>4300</v>
      </c>
      <c r="B640" s="156">
        <v>2</v>
      </c>
      <c r="C640" s="155" t="s">
        <v>4145</v>
      </c>
      <c r="D640" s="125" t="s">
        <v>6775</v>
      </c>
      <c r="E640" s="155"/>
      <c r="F640" s="155"/>
      <c r="G640" s="126" t="s">
        <v>465</v>
      </c>
      <c r="H640" s="126" t="s">
        <v>5084</v>
      </c>
      <c r="I640" s="155"/>
      <c r="J640" s="155"/>
      <c r="K640" s="155"/>
      <c r="L640" s="156" t="s">
        <v>605</v>
      </c>
      <c r="M640" s="155" t="s">
        <v>100</v>
      </c>
      <c r="N640" s="155" t="s">
        <v>80</v>
      </c>
      <c r="O640" s="155" t="s">
        <v>6951</v>
      </c>
    </row>
    <row r="641" spans="1:15" x14ac:dyDescent="0.25">
      <c r="A641" s="155" t="s">
        <v>4300</v>
      </c>
      <c r="B641" s="124">
        <v>3</v>
      </c>
      <c r="C641" s="125" t="s">
        <v>6443</v>
      </c>
      <c r="D641" s="125" t="s">
        <v>6746</v>
      </c>
      <c r="E641" s="126"/>
      <c r="F641" s="125"/>
      <c r="G641" s="125"/>
      <c r="H641" s="125"/>
      <c r="I641" s="125"/>
      <c r="J641" s="127"/>
      <c r="K641" s="124"/>
      <c r="L641" s="128" t="s">
        <v>605</v>
      </c>
      <c r="M641" s="62" t="s">
        <v>91</v>
      </c>
      <c r="N641" s="155" t="s">
        <v>80</v>
      </c>
      <c r="O641" s="155"/>
    </row>
    <row r="642" spans="1:15" x14ac:dyDescent="0.25">
      <c r="A642" s="155" t="s">
        <v>4300</v>
      </c>
      <c r="B642" s="124">
        <v>4</v>
      </c>
      <c r="C642" s="125" t="s">
        <v>116</v>
      </c>
      <c r="D642" s="127" t="s">
        <v>6747</v>
      </c>
      <c r="E642" s="126"/>
      <c r="F642" s="125"/>
      <c r="G642" s="125"/>
      <c r="H642" s="125"/>
      <c r="I642" s="125"/>
      <c r="J642" s="127"/>
      <c r="K642" s="124"/>
      <c r="L642" s="128" t="s">
        <v>605</v>
      </c>
      <c r="M642" s="125" t="s">
        <v>100</v>
      </c>
      <c r="N642" s="155" t="s">
        <v>80</v>
      </c>
      <c r="O642" s="155"/>
    </row>
    <row r="643" spans="1:15" x14ac:dyDescent="0.25">
      <c r="A643" s="155" t="s">
        <v>4300</v>
      </c>
      <c r="B643" s="124">
        <v>5</v>
      </c>
      <c r="C643" s="125" t="s">
        <v>6946</v>
      </c>
      <c r="D643" s="127" t="s">
        <v>6778</v>
      </c>
      <c r="E643" s="126"/>
      <c r="F643" s="125"/>
      <c r="G643" s="125"/>
      <c r="H643" s="125"/>
      <c r="I643" s="125"/>
      <c r="J643" s="127"/>
      <c r="K643" s="124"/>
      <c r="L643" s="128" t="s">
        <v>605</v>
      </c>
      <c r="M643" s="125" t="s">
        <v>100</v>
      </c>
      <c r="N643" s="155" t="s">
        <v>80</v>
      </c>
      <c r="O643" s="155"/>
    </row>
    <row r="644" spans="1:15" x14ac:dyDescent="0.25">
      <c r="A644" s="151" t="s">
        <v>4300</v>
      </c>
      <c r="B644" s="152">
        <v>6</v>
      </c>
      <c r="C644" s="153" t="s">
        <v>4301</v>
      </c>
      <c r="D644" s="153"/>
      <c r="E644" s="153"/>
      <c r="F644" s="153"/>
      <c r="G644" s="57" t="s">
        <v>5396</v>
      </c>
      <c r="H644" s="57" t="s">
        <v>5397</v>
      </c>
      <c r="I644" s="153"/>
      <c r="J644" s="153"/>
      <c r="K644" s="153"/>
      <c r="L644" s="154">
        <v>0</v>
      </c>
      <c r="M644" s="153" t="s">
        <v>165</v>
      </c>
      <c r="N644" s="153" t="s">
        <v>80</v>
      </c>
      <c r="O644" s="153"/>
    </row>
    <row r="645" spans="1:15" x14ac:dyDescent="0.25">
      <c r="A645" s="151" t="s">
        <v>4300</v>
      </c>
      <c r="B645" s="152">
        <v>7</v>
      </c>
      <c r="C645" s="153" t="s">
        <v>4302</v>
      </c>
      <c r="D645" s="153"/>
      <c r="E645" s="153"/>
      <c r="F645" s="153"/>
      <c r="G645" s="57" t="s">
        <v>5398</v>
      </c>
      <c r="H645" s="57" t="s">
        <v>5399</v>
      </c>
      <c r="I645" s="153"/>
      <c r="J645" s="153"/>
      <c r="K645" s="153"/>
      <c r="L645" s="154">
        <v>0</v>
      </c>
      <c r="M645" s="153" t="s">
        <v>165</v>
      </c>
      <c r="N645" s="153" t="s">
        <v>80</v>
      </c>
      <c r="O645" s="153"/>
    </row>
    <row r="646" spans="1:15" x14ac:dyDescent="0.25">
      <c r="A646" s="151" t="s">
        <v>4300</v>
      </c>
      <c r="B646" s="152">
        <v>8</v>
      </c>
      <c r="C646" s="153" t="s">
        <v>4303</v>
      </c>
      <c r="D646" s="153"/>
      <c r="E646" s="153"/>
      <c r="F646" s="153"/>
      <c r="G646" s="57" t="s">
        <v>5400</v>
      </c>
      <c r="H646" s="57" t="s">
        <v>5401</v>
      </c>
      <c r="I646" s="153"/>
      <c r="J646" s="153"/>
      <c r="K646" s="153"/>
      <c r="L646" s="154">
        <v>0</v>
      </c>
      <c r="M646" s="153" t="s">
        <v>165</v>
      </c>
      <c r="N646" s="153" t="s">
        <v>80</v>
      </c>
      <c r="O646" s="153"/>
    </row>
    <row r="647" spans="1:15" x14ac:dyDescent="0.25">
      <c r="A647" s="151" t="s">
        <v>4300</v>
      </c>
      <c r="B647" s="152">
        <v>9</v>
      </c>
      <c r="C647" s="153" t="s">
        <v>4304</v>
      </c>
      <c r="D647" s="153"/>
      <c r="E647" s="153"/>
      <c r="F647" s="153"/>
      <c r="G647" s="57" t="s">
        <v>5402</v>
      </c>
      <c r="H647" s="57" t="s">
        <v>5403</v>
      </c>
      <c r="I647" s="153"/>
      <c r="J647" s="153"/>
      <c r="K647" s="153"/>
      <c r="L647" s="154">
        <v>0</v>
      </c>
      <c r="M647" s="153" t="s">
        <v>165</v>
      </c>
      <c r="N647" s="153" t="s">
        <v>80</v>
      </c>
      <c r="O647" s="153"/>
    </row>
    <row r="648" spans="1:15" x14ac:dyDescent="0.25">
      <c r="A648" s="151" t="s">
        <v>4300</v>
      </c>
      <c r="B648" s="152">
        <v>10</v>
      </c>
      <c r="C648" s="153" t="s">
        <v>4305</v>
      </c>
      <c r="D648" s="153"/>
      <c r="E648" s="153"/>
      <c r="F648" s="153"/>
      <c r="G648" s="57" t="s">
        <v>5404</v>
      </c>
      <c r="H648" s="57" t="s">
        <v>5405</v>
      </c>
      <c r="I648" s="153"/>
      <c r="J648" s="153"/>
      <c r="K648" s="153"/>
      <c r="L648" s="154">
        <v>0</v>
      </c>
      <c r="M648" s="153" t="s">
        <v>165</v>
      </c>
      <c r="N648" s="153" t="s">
        <v>80</v>
      </c>
      <c r="O648" s="153"/>
    </row>
    <row r="649" spans="1:15" x14ac:dyDescent="0.25">
      <c r="A649" s="151" t="s">
        <v>4300</v>
      </c>
      <c r="B649" s="152">
        <v>11</v>
      </c>
      <c r="C649" s="153" t="s">
        <v>4306</v>
      </c>
      <c r="D649" s="153"/>
      <c r="E649" s="153"/>
      <c r="F649" s="153"/>
      <c r="G649" s="57" t="s">
        <v>5406</v>
      </c>
      <c r="H649" s="57" t="s">
        <v>5407</v>
      </c>
      <c r="I649" s="153"/>
      <c r="J649" s="153"/>
      <c r="K649" s="153"/>
      <c r="L649" s="154">
        <v>0</v>
      </c>
      <c r="M649" s="153" t="s">
        <v>165</v>
      </c>
      <c r="N649" s="153" t="s">
        <v>80</v>
      </c>
      <c r="O649" s="153"/>
    </row>
    <row r="650" spans="1:15" x14ac:dyDescent="0.25">
      <c r="A650" s="151" t="s">
        <v>4300</v>
      </c>
      <c r="B650" s="152">
        <v>12</v>
      </c>
      <c r="C650" s="153" t="s">
        <v>4307</v>
      </c>
      <c r="D650" s="153"/>
      <c r="E650" s="153"/>
      <c r="F650" s="153"/>
      <c r="G650" s="57" t="s">
        <v>5408</v>
      </c>
      <c r="H650" s="57" t="s">
        <v>5409</v>
      </c>
      <c r="I650" s="153"/>
      <c r="J650" s="153"/>
      <c r="K650" s="153"/>
      <c r="L650" s="154">
        <v>0</v>
      </c>
      <c r="M650" s="153" t="s">
        <v>165</v>
      </c>
      <c r="N650" s="153" t="s">
        <v>80</v>
      </c>
      <c r="O650" s="153"/>
    </row>
    <row r="651" spans="1:15" x14ac:dyDescent="0.25">
      <c r="A651" s="151" t="s">
        <v>4300</v>
      </c>
      <c r="B651" s="152">
        <v>13</v>
      </c>
      <c r="C651" s="153" t="s">
        <v>4308</v>
      </c>
      <c r="D651" s="153"/>
      <c r="E651" s="153"/>
      <c r="F651" s="153"/>
      <c r="G651" s="57" t="s">
        <v>5410</v>
      </c>
      <c r="H651" s="57" t="s">
        <v>5411</v>
      </c>
      <c r="I651" s="153"/>
      <c r="J651" s="153"/>
      <c r="K651" s="153"/>
      <c r="L651" s="154">
        <v>0</v>
      </c>
      <c r="M651" s="153" t="s">
        <v>165</v>
      </c>
      <c r="N651" s="153" t="s">
        <v>80</v>
      </c>
      <c r="O651" s="153"/>
    </row>
    <row r="652" spans="1:15" x14ac:dyDescent="0.25">
      <c r="A652" s="151" t="s">
        <v>4300</v>
      </c>
      <c r="B652" s="152">
        <v>14</v>
      </c>
      <c r="C652" s="153" t="s">
        <v>4309</v>
      </c>
      <c r="D652" s="153"/>
      <c r="E652" s="153"/>
      <c r="F652" s="153"/>
      <c r="G652" s="57" t="s">
        <v>5412</v>
      </c>
      <c r="H652" s="57" t="s">
        <v>5413</v>
      </c>
      <c r="I652" s="153"/>
      <c r="J652" s="153"/>
      <c r="K652" s="153"/>
      <c r="L652" s="154">
        <v>0</v>
      </c>
      <c r="M652" s="153" t="s">
        <v>165</v>
      </c>
      <c r="N652" s="153" t="s">
        <v>80</v>
      </c>
      <c r="O652" s="153"/>
    </row>
    <row r="653" spans="1:15" x14ac:dyDescent="0.25">
      <c r="A653" s="151" t="s">
        <v>4300</v>
      </c>
      <c r="B653" s="152">
        <v>15</v>
      </c>
      <c r="C653" s="153" t="s">
        <v>4310</v>
      </c>
      <c r="D653" s="153"/>
      <c r="E653" s="153"/>
      <c r="F653" s="153"/>
      <c r="G653" s="57" t="s">
        <v>5414</v>
      </c>
      <c r="H653" s="57" t="s">
        <v>5415</v>
      </c>
      <c r="I653" s="153"/>
      <c r="J653" s="153"/>
      <c r="K653" s="153"/>
      <c r="L653" s="154">
        <v>0</v>
      </c>
      <c r="M653" s="153" t="s">
        <v>6349</v>
      </c>
      <c r="N653" s="153" t="s">
        <v>80</v>
      </c>
      <c r="O653" s="153"/>
    </row>
    <row r="654" spans="1:15" x14ac:dyDescent="0.25">
      <c r="A654" s="151" t="s">
        <v>4300</v>
      </c>
      <c r="B654" s="152">
        <v>16</v>
      </c>
      <c r="C654" s="153" t="s">
        <v>4311</v>
      </c>
      <c r="D654" s="153"/>
      <c r="E654" s="153"/>
      <c r="F654" s="153"/>
      <c r="G654" s="57" t="s">
        <v>5416</v>
      </c>
      <c r="H654" s="57" t="s">
        <v>5417</v>
      </c>
      <c r="I654" s="153"/>
      <c r="J654" s="153"/>
      <c r="K654" s="153"/>
      <c r="L654" s="154">
        <v>0</v>
      </c>
      <c r="M654" s="153" t="s">
        <v>165</v>
      </c>
      <c r="N654" s="153" t="s">
        <v>80</v>
      </c>
      <c r="O654" s="153"/>
    </row>
    <row r="655" spans="1:15" x14ac:dyDescent="0.25">
      <c r="A655" s="151" t="s">
        <v>4300</v>
      </c>
      <c r="B655" s="152">
        <v>17</v>
      </c>
      <c r="C655" s="153" t="s">
        <v>4312</v>
      </c>
      <c r="D655" s="153"/>
      <c r="E655" s="153"/>
      <c r="F655" s="153"/>
      <c r="G655" s="57" t="s">
        <v>5418</v>
      </c>
      <c r="H655" s="57" t="s">
        <v>5419</v>
      </c>
      <c r="I655" s="153"/>
      <c r="J655" s="153"/>
      <c r="K655" s="153"/>
      <c r="L655" s="154">
        <v>0</v>
      </c>
      <c r="M655" s="153" t="s">
        <v>165</v>
      </c>
      <c r="N655" s="153" t="s">
        <v>80</v>
      </c>
      <c r="O655" s="153"/>
    </row>
    <row r="656" spans="1:15" x14ac:dyDescent="0.25">
      <c r="A656" s="151" t="s">
        <v>4300</v>
      </c>
      <c r="B656" s="152">
        <v>18</v>
      </c>
      <c r="C656" s="153" t="s">
        <v>4313</v>
      </c>
      <c r="D656" s="153"/>
      <c r="E656" s="153"/>
      <c r="F656" s="153"/>
      <c r="G656" s="57" t="s">
        <v>5420</v>
      </c>
      <c r="H656" s="57" t="s">
        <v>5421</v>
      </c>
      <c r="I656" s="153"/>
      <c r="J656" s="153"/>
      <c r="K656" s="153"/>
      <c r="L656" s="154">
        <v>0</v>
      </c>
      <c r="M656" s="153" t="s">
        <v>165</v>
      </c>
      <c r="N656" s="153" t="s">
        <v>80</v>
      </c>
      <c r="O656" s="153"/>
    </row>
    <row r="657" spans="1:15" x14ac:dyDescent="0.25">
      <c r="A657" s="151" t="s">
        <v>4300</v>
      </c>
      <c r="B657" s="152">
        <v>19</v>
      </c>
      <c r="C657" s="153" t="s">
        <v>4314</v>
      </c>
      <c r="D657" s="153"/>
      <c r="E657" s="153"/>
      <c r="F657" s="153"/>
      <c r="G657" s="57" t="s">
        <v>5422</v>
      </c>
      <c r="H657" s="57" t="s">
        <v>2884</v>
      </c>
      <c r="I657" s="153"/>
      <c r="J657" s="153"/>
      <c r="K657" s="153"/>
      <c r="L657" s="154">
        <v>0</v>
      </c>
      <c r="M657" s="153" t="s">
        <v>165</v>
      </c>
      <c r="N657" s="153" t="s">
        <v>80</v>
      </c>
      <c r="O657" s="153"/>
    </row>
    <row r="658" spans="1:15" x14ac:dyDescent="0.25">
      <c r="A658" s="144" t="s">
        <v>2799</v>
      </c>
      <c r="B658" s="141">
        <v>-99</v>
      </c>
      <c r="C658" s="91" t="s">
        <v>292</v>
      </c>
      <c r="E658" s="91"/>
      <c r="G658" s="91" t="s">
        <v>292</v>
      </c>
      <c r="H658" s="91" t="s">
        <v>292</v>
      </c>
      <c r="J658" s="91"/>
      <c r="K658" s="136"/>
      <c r="L658" s="136"/>
      <c r="M658" s="92"/>
      <c r="N658" s="138" t="s">
        <v>54</v>
      </c>
      <c r="O658" s="92"/>
    </row>
    <row r="659" spans="1:15" x14ac:dyDescent="0.25">
      <c r="A659" s="144" t="s">
        <v>2799</v>
      </c>
      <c r="B659" s="141">
        <v>-99</v>
      </c>
      <c r="C659" s="91" t="s">
        <v>6782</v>
      </c>
      <c r="E659" s="91"/>
      <c r="G659" s="91" t="s">
        <v>6851</v>
      </c>
      <c r="H659" s="91" t="s">
        <v>6852</v>
      </c>
      <c r="J659" s="91"/>
      <c r="K659" s="136"/>
      <c r="L659" s="136"/>
      <c r="M659" s="91" t="s">
        <v>3005</v>
      </c>
      <c r="N659" s="138" t="s">
        <v>54</v>
      </c>
      <c r="O659" s="92"/>
    </row>
    <row r="660" spans="1:15" x14ac:dyDescent="0.25">
      <c r="A660" s="144" t="s">
        <v>2799</v>
      </c>
      <c r="B660" s="141">
        <v>-99</v>
      </c>
      <c r="C660" s="91" t="s">
        <v>6781</v>
      </c>
      <c r="E660" s="91"/>
      <c r="G660" s="91" t="s">
        <v>6849</v>
      </c>
      <c r="H660" s="91" t="s">
        <v>6850</v>
      </c>
      <c r="J660" s="91"/>
      <c r="K660" s="136"/>
      <c r="L660" s="136"/>
      <c r="M660" s="91" t="s">
        <v>3004</v>
      </c>
      <c r="N660" s="138" t="s">
        <v>54</v>
      </c>
      <c r="O660" s="92"/>
    </row>
    <row r="661" spans="1:15" x14ac:dyDescent="0.25">
      <c r="A661" t="s">
        <v>2799</v>
      </c>
      <c r="B661" s="116">
        <v>1</v>
      </c>
      <c r="C661" s="66" t="s">
        <v>120</v>
      </c>
      <c r="D661" s="64" t="s">
        <v>1926</v>
      </c>
      <c r="E661" s="28"/>
      <c r="F661" s="61" t="s">
        <v>2155</v>
      </c>
      <c r="G661" s="29"/>
      <c r="H661" s="29"/>
      <c r="I661" s="28"/>
      <c r="J661" s="63"/>
      <c r="K661" s="85">
        <v>1</v>
      </c>
      <c r="L661" s="84" t="s">
        <v>605</v>
      </c>
      <c r="M661" s="28"/>
      <c r="N661" t="s">
        <v>54</v>
      </c>
    </row>
    <row r="662" spans="1:15" x14ac:dyDescent="0.25">
      <c r="A662" t="s">
        <v>2799</v>
      </c>
      <c r="B662" s="116">
        <v>2</v>
      </c>
      <c r="C662" s="63" t="s">
        <v>2641</v>
      </c>
      <c r="D662" s="57" t="s">
        <v>2063</v>
      </c>
      <c r="E662" s="63"/>
      <c r="F662" s="63"/>
      <c r="G662" s="63" t="s">
        <v>3064</v>
      </c>
      <c r="H662" s="57" t="s">
        <v>2844</v>
      </c>
      <c r="I662" s="63"/>
      <c r="J662" s="63"/>
      <c r="K662" s="85">
        <v>0</v>
      </c>
      <c r="L662" s="85" t="s">
        <v>605</v>
      </c>
      <c r="M662" s="57" t="s">
        <v>153</v>
      </c>
      <c r="N662" t="s">
        <v>54</v>
      </c>
    </row>
    <row r="663" spans="1:15" x14ac:dyDescent="0.25">
      <c r="A663" t="s">
        <v>2799</v>
      </c>
      <c r="B663" s="116">
        <v>2</v>
      </c>
      <c r="C663" s="105" t="s">
        <v>2642</v>
      </c>
      <c r="D663" s="57" t="s">
        <v>2845</v>
      </c>
      <c r="E663" s="63"/>
      <c r="F663" s="61" t="s">
        <v>2183</v>
      </c>
      <c r="G663" s="63" t="s">
        <v>3065</v>
      </c>
      <c r="H663" s="57" t="s">
        <v>2845</v>
      </c>
      <c r="I663" s="63"/>
      <c r="J663" s="63"/>
      <c r="K663" s="85">
        <v>0</v>
      </c>
      <c r="L663" s="85" t="s">
        <v>605</v>
      </c>
      <c r="M663" s="57" t="s">
        <v>91</v>
      </c>
      <c r="N663" t="s">
        <v>54</v>
      </c>
    </row>
    <row r="664" spans="1:15" x14ac:dyDescent="0.25">
      <c r="A664" t="s">
        <v>2799</v>
      </c>
      <c r="B664" s="116">
        <v>3</v>
      </c>
      <c r="C664" s="63" t="s">
        <v>2643</v>
      </c>
      <c r="D664" s="69" t="s">
        <v>3342</v>
      </c>
      <c r="E664" s="63"/>
      <c r="F664" s="63"/>
      <c r="G664" s="63" t="s">
        <v>3066</v>
      </c>
      <c r="H664" s="57" t="s">
        <v>2846</v>
      </c>
      <c r="I664" s="63"/>
      <c r="J664" s="63"/>
      <c r="K664" s="85">
        <v>0</v>
      </c>
      <c r="L664" s="85">
        <v>0</v>
      </c>
      <c r="M664" s="57" t="s">
        <v>91</v>
      </c>
      <c r="N664" t="s">
        <v>54</v>
      </c>
    </row>
    <row r="665" spans="1:15" x14ac:dyDescent="0.25">
      <c r="A665" t="s">
        <v>2799</v>
      </c>
      <c r="B665" s="116">
        <v>6</v>
      </c>
      <c r="C665" s="63" t="s">
        <v>2644</v>
      </c>
      <c r="D665" s="57" t="s">
        <v>6566</v>
      </c>
      <c r="E665" s="63"/>
      <c r="F665" s="63"/>
      <c r="G665" s="63" t="s">
        <v>3067</v>
      </c>
      <c r="H665" s="57" t="s">
        <v>3454</v>
      </c>
      <c r="I665" s="63"/>
      <c r="J665" s="63" t="s">
        <v>3455</v>
      </c>
      <c r="K665" s="85">
        <v>0</v>
      </c>
      <c r="L665" s="85">
        <v>0</v>
      </c>
      <c r="M665" s="57" t="s">
        <v>92</v>
      </c>
      <c r="N665" t="s">
        <v>54</v>
      </c>
    </row>
    <row r="666" spans="1:15" x14ac:dyDescent="0.25">
      <c r="A666" t="s">
        <v>2799</v>
      </c>
      <c r="B666" s="116">
        <v>7</v>
      </c>
      <c r="C666" s="63" t="s">
        <v>2645</v>
      </c>
      <c r="D666" s="57" t="s">
        <v>6565</v>
      </c>
      <c r="E666" s="63"/>
      <c r="F666" s="63"/>
      <c r="G666" s="63" t="s">
        <v>3068</v>
      </c>
      <c r="H666" s="57" t="s">
        <v>2848</v>
      </c>
      <c r="I666" s="63"/>
      <c r="J666" s="63" t="s">
        <v>3456</v>
      </c>
      <c r="K666" s="85">
        <v>0</v>
      </c>
      <c r="L666" s="85">
        <v>0</v>
      </c>
      <c r="M666" s="57" t="s">
        <v>92</v>
      </c>
      <c r="N666" t="s">
        <v>54</v>
      </c>
    </row>
    <row r="667" spans="1:15" x14ac:dyDescent="0.25">
      <c r="A667" t="s">
        <v>2799</v>
      </c>
      <c r="B667" s="116">
        <v>8</v>
      </c>
      <c r="C667" s="63" t="s">
        <v>2646</v>
      </c>
      <c r="D667" s="57" t="s">
        <v>6564</v>
      </c>
      <c r="E667" s="63"/>
      <c r="F667" s="63"/>
      <c r="G667" s="63" t="s">
        <v>3069</v>
      </c>
      <c r="H667" s="57" t="s">
        <v>2849</v>
      </c>
      <c r="I667" s="63"/>
      <c r="J667" s="63" t="s">
        <v>3457</v>
      </c>
      <c r="K667" s="85">
        <v>0</v>
      </c>
      <c r="L667" s="85">
        <v>0</v>
      </c>
      <c r="M667" s="57" t="s">
        <v>92</v>
      </c>
      <c r="N667" t="s">
        <v>54</v>
      </c>
    </row>
    <row r="668" spans="1:15" x14ac:dyDescent="0.25">
      <c r="A668" t="s">
        <v>2799</v>
      </c>
      <c r="B668" s="116">
        <v>9</v>
      </c>
      <c r="C668" s="63" t="s">
        <v>217</v>
      </c>
      <c r="D668" s="57" t="s">
        <v>1904</v>
      </c>
      <c r="E668" s="63"/>
      <c r="F668" s="63"/>
      <c r="G668" s="63" t="s">
        <v>3075</v>
      </c>
      <c r="H668" s="57" t="s">
        <v>521</v>
      </c>
      <c r="I668" s="63"/>
      <c r="J668" s="63"/>
      <c r="K668" s="85">
        <v>0</v>
      </c>
      <c r="L668" s="85">
        <v>0</v>
      </c>
      <c r="M668" s="57" t="s">
        <v>211</v>
      </c>
      <c r="N668" t="s">
        <v>54</v>
      </c>
    </row>
    <row r="669" spans="1:15" x14ac:dyDescent="0.25">
      <c r="A669" t="s">
        <v>2799</v>
      </c>
      <c r="B669" s="116">
        <v>10</v>
      </c>
      <c r="C669" s="63" t="s">
        <v>218</v>
      </c>
      <c r="D669" s="57" t="s">
        <v>1973</v>
      </c>
      <c r="E669" s="63"/>
      <c r="F669" s="63"/>
      <c r="G669" s="63" t="s">
        <v>3076</v>
      </c>
      <c r="H669" s="57" t="s">
        <v>523</v>
      </c>
      <c r="I669" s="63"/>
      <c r="J669" s="63"/>
      <c r="K669" s="85">
        <v>0</v>
      </c>
      <c r="L669" s="85">
        <v>0</v>
      </c>
      <c r="M669" s="57" t="s">
        <v>100</v>
      </c>
      <c r="N669" t="s">
        <v>54</v>
      </c>
    </row>
    <row r="670" spans="1:15" x14ac:dyDescent="0.25">
      <c r="A670" t="s">
        <v>2799</v>
      </c>
      <c r="B670" s="116"/>
      <c r="C670" s="63" t="s">
        <v>2647</v>
      </c>
      <c r="D670" s="57" t="s">
        <v>6554</v>
      </c>
      <c r="E670" s="63"/>
      <c r="F670" s="63"/>
      <c r="G670" s="63" t="s">
        <v>3070</v>
      </c>
      <c r="H670" s="57" t="s">
        <v>2850</v>
      </c>
      <c r="I670" s="63"/>
      <c r="J670" s="63" t="s">
        <v>3458</v>
      </c>
      <c r="K670" s="85">
        <v>0</v>
      </c>
      <c r="L670" s="85">
        <v>0</v>
      </c>
      <c r="M670" s="57" t="s">
        <v>92</v>
      </c>
      <c r="N670" t="s">
        <v>54</v>
      </c>
    </row>
    <row r="671" spans="1:15" x14ac:dyDescent="0.25">
      <c r="A671" t="s">
        <v>2799</v>
      </c>
      <c r="B671" s="116"/>
      <c r="C671" s="63" t="s">
        <v>2648</v>
      </c>
      <c r="D671" s="57" t="s">
        <v>6555</v>
      </c>
      <c r="E671" s="63"/>
      <c r="F671" s="63"/>
      <c r="G671" s="63" t="s">
        <v>3071</v>
      </c>
      <c r="H671" s="57" t="s">
        <v>2851</v>
      </c>
      <c r="I671" s="63"/>
      <c r="J671" s="63" t="s">
        <v>3459</v>
      </c>
      <c r="K671" s="85">
        <v>0</v>
      </c>
      <c r="L671" s="85">
        <v>0</v>
      </c>
      <c r="M671" s="57" t="s">
        <v>92</v>
      </c>
      <c r="N671" t="s">
        <v>54</v>
      </c>
    </row>
    <row r="672" spans="1:15" x14ac:dyDescent="0.25">
      <c r="A672" t="s">
        <v>2799</v>
      </c>
      <c r="B672" s="116"/>
      <c r="C672" s="63" t="s">
        <v>2651</v>
      </c>
      <c r="D672" s="57" t="s">
        <v>6556</v>
      </c>
      <c r="E672" s="63"/>
      <c r="F672" s="63"/>
      <c r="G672" s="63" t="s">
        <v>3074</v>
      </c>
      <c r="H672" s="57" t="s">
        <v>2854</v>
      </c>
      <c r="I672" s="63"/>
      <c r="J672" s="63" t="s">
        <v>3460</v>
      </c>
      <c r="K672" s="85">
        <v>0</v>
      </c>
      <c r="L672" s="85">
        <v>0</v>
      </c>
      <c r="M672" s="57" t="s">
        <v>92</v>
      </c>
      <c r="N672" t="s">
        <v>54</v>
      </c>
    </row>
    <row r="673" spans="1:15" x14ac:dyDescent="0.25">
      <c r="A673" t="s">
        <v>2799</v>
      </c>
      <c r="B673" s="116"/>
      <c r="C673" s="63" t="s">
        <v>2649</v>
      </c>
      <c r="D673" s="57" t="s">
        <v>6557</v>
      </c>
      <c r="E673" s="63"/>
      <c r="F673" s="63"/>
      <c r="G673" s="63" t="s">
        <v>3072</v>
      </c>
      <c r="H673" s="57" t="s">
        <v>2852</v>
      </c>
      <c r="I673" s="63"/>
      <c r="J673" s="63" t="s">
        <v>3461</v>
      </c>
      <c r="K673" s="85">
        <v>0</v>
      </c>
      <c r="L673" s="85">
        <v>0</v>
      </c>
      <c r="M673" s="57" t="s">
        <v>92</v>
      </c>
      <c r="N673" t="s">
        <v>54</v>
      </c>
    </row>
    <row r="674" spans="1:15" x14ac:dyDescent="0.25">
      <c r="A674" t="s">
        <v>2799</v>
      </c>
      <c r="B674" s="116"/>
      <c r="C674" s="63" t="s">
        <v>2650</v>
      </c>
      <c r="D674" s="57" t="s">
        <v>6558</v>
      </c>
      <c r="E674" s="63"/>
      <c r="F674" s="63"/>
      <c r="G674" s="63" t="s">
        <v>3073</v>
      </c>
      <c r="H674" s="57" t="s">
        <v>2853</v>
      </c>
      <c r="I674" s="63"/>
      <c r="J674" s="63" t="s">
        <v>3462</v>
      </c>
      <c r="K674" s="85">
        <v>0</v>
      </c>
      <c r="L674" s="85">
        <v>0</v>
      </c>
      <c r="M674" s="57" t="s">
        <v>92</v>
      </c>
      <c r="N674" t="s">
        <v>54</v>
      </c>
    </row>
    <row r="675" spans="1:15" x14ac:dyDescent="0.25">
      <c r="A675" s="145" t="s">
        <v>2803</v>
      </c>
      <c r="B675" s="141">
        <v>-99</v>
      </c>
      <c r="C675" s="91" t="s">
        <v>292</v>
      </c>
      <c r="E675" s="91"/>
      <c r="G675" s="91" t="s">
        <v>292</v>
      </c>
      <c r="H675" s="91" t="s">
        <v>292</v>
      </c>
      <c r="J675" s="91"/>
      <c r="K675" s="136"/>
      <c r="L675" s="136"/>
      <c r="M675" s="92"/>
      <c r="N675" s="138" t="s">
        <v>54</v>
      </c>
      <c r="O675" s="92"/>
    </row>
    <row r="676" spans="1:15" x14ac:dyDescent="0.25">
      <c r="A676" t="s">
        <v>2803</v>
      </c>
      <c r="B676" s="116">
        <v>1</v>
      </c>
      <c r="C676" s="66" t="s">
        <v>120</v>
      </c>
      <c r="D676" s="61" t="s">
        <v>1954</v>
      </c>
      <c r="E676" s="61"/>
      <c r="F676" s="61" t="s">
        <v>2184</v>
      </c>
      <c r="G676" s="29"/>
      <c r="H676" s="29"/>
      <c r="I676" s="28"/>
      <c r="J676" s="63"/>
      <c r="K676" s="85">
        <v>1</v>
      </c>
      <c r="L676" s="84" t="s">
        <v>605</v>
      </c>
      <c r="M676" s="28"/>
      <c r="N676" t="s">
        <v>54</v>
      </c>
    </row>
    <row r="677" spans="1:15" x14ac:dyDescent="0.25">
      <c r="A677" t="s">
        <v>2803</v>
      </c>
      <c r="B677" s="116">
        <v>2</v>
      </c>
      <c r="C677" s="63" t="s">
        <v>2652</v>
      </c>
      <c r="D677" s="61" t="s">
        <v>1907</v>
      </c>
      <c r="E677" s="63"/>
      <c r="F677" s="63"/>
      <c r="G677" s="63" t="s">
        <v>3077</v>
      </c>
      <c r="H677" s="57" t="s">
        <v>2855</v>
      </c>
      <c r="I677" s="63"/>
      <c r="J677" s="63"/>
      <c r="K677" s="85">
        <v>0</v>
      </c>
      <c r="L677" s="85">
        <v>0</v>
      </c>
      <c r="M677" s="57" t="s">
        <v>156</v>
      </c>
      <c r="N677" t="s">
        <v>54</v>
      </c>
    </row>
    <row r="678" spans="1:15" x14ac:dyDescent="0.25">
      <c r="A678" t="s">
        <v>2803</v>
      </c>
      <c r="B678" s="116">
        <v>3</v>
      </c>
      <c r="C678" s="63" t="s">
        <v>2653</v>
      </c>
      <c r="D678" s="61" t="s">
        <v>1908</v>
      </c>
      <c r="E678" s="63"/>
      <c r="F678" s="63"/>
      <c r="G678" s="63" t="s">
        <v>3078</v>
      </c>
      <c r="H678" s="57" t="s">
        <v>2856</v>
      </c>
      <c r="I678" s="63"/>
      <c r="J678" s="63"/>
      <c r="K678" s="85">
        <v>0</v>
      </c>
      <c r="L678" s="85">
        <v>0</v>
      </c>
      <c r="M678" s="57" t="s">
        <v>156</v>
      </c>
      <c r="N678" t="s">
        <v>54</v>
      </c>
    </row>
    <row r="679" spans="1:15" x14ac:dyDescent="0.25">
      <c r="A679" t="s">
        <v>2803</v>
      </c>
      <c r="B679" s="116">
        <v>4</v>
      </c>
      <c r="C679" s="63" t="s">
        <v>2654</v>
      </c>
      <c r="D679" s="61" t="s">
        <v>3348</v>
      </c>
      <c r="E679" s="63"/>
      <c r="F679" s="63"/>
      <c r="G679" s="63" t="s">
        <v>3079</v>
      </c>
      <c r="H679" s="57" t="s">
        <v>2857</v>
      </c>
      <c r="I679" s="63"/>
      <c r="J679" s="63"/>
      <c r="K679" s="85">
        <v>0</v>
      </c>
      <c r="L679" s="85">
        <v>0</v>
      </c>
      <c r="M679" s="57" t="s">
        <v>3006</v>
      </c>
      <c r="N679" t="s">
        <v>54</v>
      </c>
    </row>
    <row r="680" spans="1:15" x14ac:dyDescent="0.25">
      <c r="A680" t="s">
        <v>2803</v>
      </c>
      <c r="B680" s="116">
        <v>5</v>
      </c>
      <c r="C680" s="63" t="s">
        <v>2655</v>
      </c>
      <c r="D680" s="63" t="s">
        <v>1978</v>
      </c>
      <c r="E680" s="63"/>
      <c r="F680" s="63"/>
      <c r="G680" s="63" t="s">
        <v>3080</v>
      </c>
      <c r="H680" s="57" t="s">
        <v>2858</v>
      </c>
      <c r="I680" s="63"/>
      <c r="J680" s="63"/>
      <c r="K680" s="85">
        <v>0</v>
      </c>
      <c r="L680" s="85">
        <v>0</v>
      </c>
      <c r="M680" s="57" t="s">
        <v>195</v>
      </c>
      <c r="N680" t="s">
        <v>54</v>
      </c>
    </row>
    <row r="681" spans="1:15" x14ac:dyDescent="0.25">
      <c r="A681" t="s">
        <v>2803</v>
      </c>
      <c r="B681" s="116">
        <v>6</v>
      </c>
      <c r="C681" s="63" t="s">
        <v>2657</v>
      </c>
      <c r="D681" s="63" t="s">
        <v>3349</v>
      </c>
      <c r="E681" s="63"/>
      <c r="F681" s="63"/>
      <c r="G681" s="63" t="s">
        <v>3082</v>
      </c>
      <c r="H681" s="57" t="s">
        <v>2860</v>
      </c>
      <c r="I681" s="63"/>
      <c r="J681" s="63"/>
      <c r="K681" s="85">
        <v>0</v>
      </c>
      <c r="L681" s="85">
        <v>0</v>
      </c>
      <c r="M681" s="57" t="s">
        <v>195</v>
      </c>
      <c r="N681" t="s">
        <v>54</v>
      </c>
    </row>
    <row r="682" spans="1:15" x14ac:dyDescent="0.25">
      <c r="A682" t="s">
        <v>2803</v>
      </c>
      <c r="B682" s="116">
        <v>7</v>
      </c>
      <c r="C682" s="63" t="s">
        <v>2658</v>
      </c>
      <c r="D682" s="63" t="s">
        <v>3350</v>
      </c>
      <c r="E682" s="63"/>
      <c r="F682" s="63"/>
      <c r="G682" s="63" t="s">
        <v>3083</v>
      </c>
      <c r="H682" s="57" t="s">
        <v>2861</v>
      </c>
      <c r="I682" s="63"/>
      <c r="J682" s="63"/>
      <c r="K682" s="85">
        <v>0</v>
      </c>
      <c r="L682" s="85">
        <v>0</v>
      </c>
      <c r="M682" s="57" t="s">
        <v>100</v>
      </c>
      <c r="N682" t="s">
        <v>54</v>
      </c>
    </row>
    <row r="683" spans="1:15" x14ac:dyDescent="0.25">
      <c r="A683" t="s">
        <v>2803</v>
      </c>
      <c r="B683" s="116">
        <v>8</v>
      </c>
      <c r="C683" s="63" t="s">
        <v>2659</v>
      </c>
      <c r="D683" s="63" t="s">
        <v>3351</v>
      </c>
      <c r="E683" s="63"/>
      <c r="F683" s="63"/>
      <c r="G683" s="63" t="s">
        <v>3084</v>
      </c>
      <c r="H683" s="57" t="s">
        <v>2862</v>
      </c>
      <c r="I683" s="63"/>
      <c r="J683" s="63"/>
      <c r="K683" s="85">
        <v>0</v>
      </c>
      <c r="L683" s="85">
        <v>0</v>
      </c>
      <c r="M683" s="57" t="s">
        <v>100</v>
      </c>
      <c r="N683" t="s">
        <v>54</v>
      </c>
    </row>
    <row r="684" spans="1:15" x14ac:dyDescent="0.25">
      <c r="A684" t="s">
        <v>2803</v>
      </c>
      <c r="B684" s="116">
        <v>9</v>
      </c>
      <c r="C684" s="63" t="s">
        <v>2660</v>
      </c>
      <c r="D684" s="63" t="s">
        <v>3369</v>
      </c>
      <c r="E684" s="63"/>
      <c r="F684" s="63"/>
      <c r="G684" s="63" t="s">
        <v>3085</v>
      </c>
      <c r="H684" s="57" t="s">
        <v>2863</v>
      </c>
      <c r="I684" s="63"/>
      <c r="J684" s="63"/>
      <c r="K684" s="85">
        <v>0</v>
      </c>
      <c r="L684" s="85">
        <v>0</v>
      </c>
      <c r="M684" s="57" t="s">
        <v>3007</v>
      </c>
      <c r="N684" t="s">
        <v>54</v>
      </c>
    </row>
    <row r="685" spans="1:15" x14ac:dyDescent="0.25">
      <c r="A685" t="s">
        <v>2803</v>
      </c>
      <c r="B685" s="116">
        <v>10</v>
      </c>
      <c r="C685" s="63" t="s">
        <v>2666</v>
      </c>
      <c r="D685" s="63" t="s">
        <v>3370</v>
      </c>
      <c r="E685" s="63"/>
      <c r="F685" s="63"/>
      <c r="G685" s="63" t="s">
        <v>3091</v>
      </c>
      <c r="H685" s="57" t="s">
        <v>2869</v>
      </c>
      <c r="I685" s="63"/>
      <c r="J685" s="63"/>
      <c r="K685" s="85">
        <v>0</v>
      </c>
      <c r="L685" s="85">
        <v>0</v>
      </c>
      <c r="M685" s="57" t="s">
        <v>3007</v>
      </c>
      <c r="N685" t="s">
        <v>54</v>
      </c>
    </row>
    <row r="686" spans="1:15" x14ac:dyDescent="0.25">
      <c r="A686" t="s">
        <v>2803</v>
      </c>
      <c r="B686" s="116">
        <v>10</v>
      </c>
      <c r="C686" s="63" t="s">
        <v>2662</v>
      </c>
      <c r="D686" s="63" t="s">
        <v>3372</v>
      </c>
      <c r="E686" s="63"/>
      <c r="F686" s="63"/>
      <c r="G686" s="63" t="s">
        <v>3087</v>
      </c>
      <c r="H686" s="57" t="s">
        <v>2865</v>
      </c>
      <c r="I686" s="63"/>
      <c r="J686" s="63"/>
      <c r="K686" s="85">
        <v>0</v>
      </c>
      <c r="L686" s="85">
        <v>0</v>
      </c>
      <c r="M686" s="57" t="s">
        <v>3008</v>
      </c>
      <c r="N686" t="s">
        <v>54</v>
      </c>
    </row>
    <row r="687" spans="1:15" x14ac:dyDescent="0.25">
      <c r="A687" t="s">
        <v>2803</v>
      </c>
      <c r="B687" s="116">
        <v>10</v>
      </c>
      <c r="C687" s="63" t="s">
        <v>2663</v>
      </c>
      <c r="D687" s="63" t="s">
        <v>3373</v>
      </c>
      <c r="E687" s="63"/>
      <c r="F687" s="63"/>
      <c r="G687" s="63" t="s">
        <v>3088</v>
      </c>
      <c r="H687" s="57" t="s">
        <v>2866</v>
      </c>
      <c r="I687" s="63"/>
      <c r="J687" s="63"/>
      <c r="K687" s="85">
        <v>0</v>
      </c>
      <c r="L687" s="85">
        <v>0</v>
      </c>
      <c r="M687" s="57" t="s">
        <v>3008</v>
      </c>
      <c r="N687" t="s">
        <v>54</v>
      </c>
    </row>
    <row r="688" spans="1:15" x14ac:dyDescent="0.25">
      <c r="A688" t="s">
        <v>2803</v>
      </c>
      <c r="B688" s="116">
        <v>10</v>
      </c>
      <c r="C688" s="63" t="s">
        <v>2661</v>
      </c>
      <c r="D688" s="63" t="s">
        <v>3374</v>
      </c>
      <c r="E688" s="63"/>
      <c r="F688" s="63"/>
      <c r="G688" s="63" t="s">
        <v>3086</v>
      </c>
      <c r="H688" s="57" t="s">
        <v>2864</v>
      </c>
      <c r="I688" s="63"/>
      <c r="J688" s="63"/>
      <c r="K688" s="85">
        <v>0</v>
      </c>
      <c r="L688" s="85">
        <v>0</v>
      </c>
      <c r="M688" s="57" t="s">
        <v>3008</v>
      </c>
      <c r="N688" t="s">
        <v>54</v>
      </c>
    </row>
    <row r="689" spans="1:14" x14ac:dyDescent="0.25">
      <c r="A689" t="s">
        <v>2803</v>
      </c>
      <c r="B689" s="116">
        <v>10</v>
      </c>
      <c r="C689" s="63" t="s">
        <v>2664</v>
      </c>
      <c r="D689" s="63" t="s">
        <v>3371</v>
      </c>
      <c r="E689" s="63"/>
      <c r="F689" s="63"/>
      <c r="G689" s="63" t="s">
        <v>3089</v>
      </c>
      <c r="H689" s="57" t="s">
        <v>2867</v>
      </c>
      <c r="I689" s="63"/>
      <c r="J689" s="63"/>
      <c r="K689" s="85">
        <v>0</v>
      </c>
      <c r="L689" s="85">
        <v>0</v>
      </c>
      <c r="M689" s="57" t="s">
        <v>3007</v>
      </c>
      <c r="N689" t="s">
        <v>54</v>
      </c>
    </row>
    <row r="690" spans="1:14" x14ac:dyDescent="0.25">
      <c r="A690" t="s">
        <v>2803</v>
      </c>
      <c r="B690" s="116">
        <v>10</v>
      </c>
      <c r="C690" s="63" t="s">
        <v>2665</v>
      </c>
      <c r="D690" s="63" t="s">
        <v>3375</v>
      </c>
      <c r="E690" s="63"/>
      <c r="F690" s="63"/>
      <c r="G690" s="63" t="s">
        <v>3090</v>
      </c>
      <c r="H690" s="57" t="s">
        <v>2868</v>
      </c>
      <c r="I690" s="63"/>
      <c r="J690" s="63"/>
      <c r="K690" s="85">
        <v>0</v>
      </c>
      <c r="L690" s="85">
        <v>0</v>
      </c>
      <c r="M690" s="57" t="s">
        <v>3007</v>
      </c>
      <c r="N690" t="s">
        <v>54</v>
      </c>
    </row>
    <row r="691" spans="1:14" x14ac:dyDescent="0.25">
      <c r="A691" t="s">
        <v>2803</v>
      </c>
      <c r="B691" s="116">
        <v>11</v>
      </c>
      <c r="C691" s="63" t="s">
        <v>2667</v>
      </c>
      <c r="D691" s="63" t="s">
        <v>3379</v>
      </c>
      <c r="E691" s="63"/>
      <c r="F691" s="63"/>
      <c r="G691" s="63" t="s">
        <v>3092</v>
      </c>
      <c r="H691" s="57" t="s">
        <v>2870</v>
      </c>
      <c r="I691" s="63"/>
      <c r="J691" s="63"/>
      <c r="K691" s="85">
        <v>0</v>
      </c>
      <c r="L691" s="85">
        <v>0</v>
      </c>
      <c r="M691" s="57" t="s">
        <v>100</v>
      </c>
      <c r="N691" t="s">
        <v>54</v>
      </c>
    </row>
    <row r="692" spans="1:14" x14ac:dyDescent="0.25">
      <c r="A692" t="s">
        <v>2803</v>
      </c>
      <c r="B692" s="116">
        <v>12</v>
      </c>
      <c r="C692" s="63" t="s">
        <v>2656</v>
      </c>
      <c r="D692" s="63" t="s">
        <v>3352</v>
      </c>
      <c r="E692" s="63"/>
      <c r="F692" s="63"/>
      <c r="G692" s="63" t="s">
        <v>3081</v>
      </c>
      <c r="H692" s="57" t="s">
        <v>2859</v>
      </c>
      <c r="I692" s="63"/>
      <c r="J692" s="63"/>
      <c r="K692" s="85">
        <v>0</v>
      </c>
      <c r="L692" s="85">
        <v>1</v>
      </c>
      <c r="M692" s="57" t="s">
        <v>195</v>
      </c>
      <c r="N692" t="s">
        <v>54</v>
      </c>
    </row>
    <row r="693" spans="1:14" x14ac:dyDescent="0.25">
      <c r="A693" t="s">
        <v>67</v>
      </c>
      <c r="B693" s="114">
        <v>0</v>
      </c>
      <c r="C693" t="s">
        <v>2616</v>
      </c>
      <c r="D693" s="64" t="s">
        <v>6640</v>
      </c>
      <c r="G693" s="91" t="s">
        <v>3039</v>
      </c>
      <c r="H693" s="91" t="s">
        <v>4797</v>
      </c>
      <c r="L693" s="13" t="s">
        <v>605</v>
      </c>
      <c r="M693" t="s">
        <v>100</v>
      </c>
      <c r="N693" t="s">
        <v>68</v>
      </c>
    </row>
    <row r="694" spans="1:14" x14ac:dyDescent="0.25">
      <c r="A694" t="s">
        <v>67</v>
      </c>
      <c r="B694" s="115">
        <v>1</v>
      </c>
      <c r="C694" s="61" t="s">
        <v>202</v>
      </c>
      <c r="D694" s="63" t="s">
        <v>1906</v>
      </c>
      <c r="E694" s="77" t="s">
        <v>1608</v>
      </c>
      <c r="F694" s="61" t="s">
        <v>2180</v>
      </c>
      <c r="G694" s="61" t="s">
        <v>492</v>
      </c>
      <c r="H694" s="61" t="s">
        <v>493</v>
      </c>
      <c r="I694" s="75" t="s">
        <v>2407</v>
      </c>
      <c r="J694" s="63"/>
      <c r="K694" s="84">
        <v>0</v>
      </c>
      <c r="L694" s="85" t="s">
        <v>605</v>
      </c>
      <c r="M694" s="61" t="s">
        <v>91</v>
      </c>
      <c r="N694" t="s">
        <v>68</v>
      </c>
    </row>
    <row r="695" spans="1:14" x14ac:dyDescent="0.25">
      <c r="A695" t="s">
        <v>67</v>
      </c>
      <c r="B695" s="114">
        <v>2</v>
      </c>
      <c r="C695" t="s">
        <v>3998</v>
      </c>
      <c r="D695" s="63" t="s">
        <v>6507</v>
      </c>
      <c r="G695" s="91" t="s">
        <v>4798</v>
      </c>
      <c r="H695" s="91" t="s">
        <v>4799</v>
      </c>
      <c r="L695" s="13" t="s">
        <v>605</v>
      </c>
      <c r="M695" t="s">
        <v>91</v>
      </c>
      <c r="N695" t="s">
        <v>68</v>
      </c>
    </row>
    <row r="696" spans="1:14" x14ac:dyDescent="0.25">
      <c r="A696" t="s">
        <v>67</v>
      </c>
      <c r="B696" s="115">
        <v>3</v>
      </c>
      <c r="C696" s="61" t="s">
        <v>203</v>
      </c>
      <c r="D696" s="63" t="s">
        <v>1935</v>
      </c>
      <c r="E696" s="77" t="s">
        <v>1609</v>
      </c>
      <c r="F696" s="62" t="s">
        <v>2238</v>
      </c>
      <c r="G696" s="61" t="s">
        <v>494</v>
      </c>
      <c r="H696" s="61" t="s">
        <v>495</v>
      </c>
      <c r="I696" s="75" t="s">
        <v>2408</v>
      </c>
      <c r="J696" s="63"/>
      <c r="K696" s="84">
        <v>0</v>
      </c>
      <c r="L696" s="85" t="s">
        <v>605</v>
      </c>
      <c r="M696" s="61" t="s">
        <v>91</v>
      </c>
      <c r="N696" t="s">
        <v>68</v>
      </c>
    </row>
    <row r="697" spans="1:14" x14ac:dyDescent="0.25">
      <c r="A697" t="s">
        <v>67</v>
      </c>
      <c r="B697" s="114">
        <v>3</v>
      </c>
      <c r="C697" t="s">
        <v>3999</v>
      </c>
      <c r="D697" t="s">
        <v>1944</v>
      </c>
      <c r="G697" s="91" t="s">
        <v>4800</v>
      </c>
      <c r="H697" s="91" t="s">
        <v>4801</v>
      </c>
      <c r="L697" s="13">
        <v>0</v>
      </c>
      <c r="M697" t="s">
        <v>91</v>
      </c>
      <c r="N697" t="s">
        <v>68</v>
      </c>
    </row>
    <row r="698" spans="1:14" x14ac:dyDescent="0.25">
      <c r="A698" t="s">
        <v>67</v>
      </c>
      <c r="B698" s="115">
        <v>4</v>
      </c>
      <c r="C698" s="61" t="s">
        <v>204</v>
      </c>
      <c r="D698" s="63" t="s">
        <v>1936</v>
      </c>
      <c r="E698" s="77" t="s">
        <v>1610</v>
      </c>
      <c r="F698" s="61" t="s">
        <v>2171</v>
      </c>
      <c r="G698" s="61" t="s">
        <v>496</v>
      </c>
      <c r="H698" s="61" t="s">
        <v>497</v>
      </c>
      <c r="I698" s="75" t="s">
        <v>2409</v>
      </c>
      <c r="J698" s="63"/>
      <c r="K698" s="84">
        <v>0</v>
      </c>
      <c r="L698" s="85">
        <v>0</v>
      </c>
      <c r="M698" s="61" t="s">
        <v>91</v>
      </c>
      <c r="N698" t="s">
        <v>68</v>
      </c>
    </row>
    <row r="699" spans="1:14" x14ac:dyDescent="0.25">
      <c r="A699" t="s">
        <v>67</v>
      </c>
      <c r="B699" s="115">
        <v>5</v>
      </c>
      <c r="C699" s="61" t="s">
        <v>205</v>
      </c>
      <c r="D699" s="63" t="s">
        <v>1937</v>
      </c>
      <c r="E699" s="77" t="s">
        <v>1611</v>
      </c>
      <c r="F699" s="61" t="s">
        <v>1937</v>
      </c>
      <c r="G699" s="61" t="s">
        <v>498</v>
      </c>
      <c r="H699" s="61" t="s">
        <v>499</v>
      </c>
      <c r="I699" s="75" t="s">
        <v>2410</v>
      </c>
      <c r="J699" s="63"/>
      <c r="K699" s="84">
        <v>0</v>
      </c>
      <c r="L699" s="85">
        <v>0</v>
      </c>
      <c r="M699" s="61" t="s">
        <v>91</v>
      </c>
      <c r="N699" t="s">
        <v>68</v>
      </c>
    </row>
    <row r="700" spans="1:14" x14ac:dyDescent="0.25">
      <c r="A700" t="s">
        <v>67</v>
      </c>
      <c r="B700" s="115">
        <v>6</v>
      </c>
      <c r="C700" s="61" t="s">
        <v>206</v>
      </c>
      <c r="D700" s="64" t="s">
        <v>1938</v>
      </c>
      <c r="E700" s="77" t="s">
        <v>1612</v>
      </c>
      <c r="F700" s="61" t="s">
        <v>2172</v>
      </c>
      <c r="G700" s="61" t="s">
        <v>500</v>
      </c>
      <c r="H700" s="61" t="s">
        <v>501</v>
      </c>
      <c r="I700" s="75" t="s">
        <v>2411</v>
      </c>
      <c r="J700" s="63"/>
      <c r="K700" s="84">
        <v>0</v>
      </c>
      <c r="L700" s="85">
        <v>0</v>
      </c>
      <c r="M700" s="61" t="s">
        <v>91</v>
      </c>
      <c r="N700" t="s">
        <v>68</v>
      </c>
    </row>
    <row r="701" spans="1:14" x14ac:dyDescent="0.25">
      <c r="A701" t="s">
        <v>67</v>
      </c>
      <c r="B701" s="115">
        <v>7</v>
      </c>
      <c r="C701" s="61" t="s">
        <v>207</v>
      </c>
      <c r="D701" s="63" t="s">
        <v>1939</v>
      </c>
      <c r="E701" s="77" t="s">
        <v>1613</v>
      </c>
      <c r="F701" s="61" t="s">
        <v>2173</v>
      </c>
      <c r="G701" s="61" t="s">
        <v>502</v>
      </c>
      <c r="H701" s="61" t="s">
        <v>503</v>
      </c>
      <c r="I701" s="75" t="s">
        <v>2412</v>
      </c>
      <c r="J701" s="63"/>
      <c r="K701" s="84">
        <v>0</v>
      </c>
      <c r="L701" s="85">
        <v>1</v>
      </c>
      <c r="M701" s="61" t="s">
        <v>138</v>
      </c>
      <c r="N701" t="s">
        <v>68</v>
      </c>
    </row>
    <row r="702" spans="1:14" x14ac:dyDescent="0.25">
      <c r="A702" t="s">
        <v>67</v>
      </c>
      <c r="B702" s="115">
        <v>8</v>
      </c>
      <c r="C702" s="61" t="s">
        <v>208</v>
      </c>
      <c r="D702" s="63" t="s">
        <v>1940</v>
      </c>
      <c r="E702" s="77" t="s">
        <v>1614</v>
      </c>
      <c r="F702" s="61" t="s">
        <v>2174</v>
      </c>
      <c r="G702" s="61" t="s">
        <v>504</v>
      </c>
      <c r="H702" s="61" t="s">
        <v>505</v>
      </c>
      <c r="I702" s="75" t="s">
        <v>2413</v>
      </c>
      <c r="J702" s="63"/>
      <c r="K702" s="84">
        <v>0</v>
      </c>
      <c r="L702" s="85">
        <v>1</v>
      </c>
      <c r="M702" s="61" t="s">
        <v>138</v>
      </c>
      <c r="N702" t="s">
        <v>68</v>
      </c>
    </row>
    <row r="703" spans="1:14" x14ac:dyDescent="0.25">
      <c r="A703" t="s">
        <v>67</v>
      </c>
      <c r="B703" s="115">
        <v>9</v>
      </c>
      <c r="C703" s="61" t="s">
        <v>209</v>
      </c>
      <c r="D703" s="63" t="s">
        <v>1941</v>
      </c>
      <c r="E703" s="77" t="s">
        <v>1615</v>
      </c>
      <c r="F703" s="61" t="s">
        <v>2175</v>
      </c>
      <c r="G703" s="61" t="s">
        <v>506</v>
      </c>
      <c r="H703" s="61" t="s">
        <v>507</v>
      </c>
      <c r="I703" s="75" t="s">
        <v>2414</v>
      </c>
      <c r="J703" s="63"/>
      <c r="K703" s="84">
        <v>0</v>
      </c>
      <c r="L703" s="85">
        <v>1</v>
      </c>
      <c r="M703" s="61" t="s">
        <v>139</v>
      </c>
      <c r="N703" t="s">
        <v>68</v>
      </c>
    </row>
    <row r="704" spans="1:14" x14ac:dyDescent="0.25">
      <c r="A704" t="s">
        <v>67</v>
      </c>
      <c r="B704" s="115">
        <v>44</v>
      </c>
      <c r="C704" s="61" t="s">
        <v>210</v>
      </c>
      <c r="D704" s="63" t="s">
        <v>1942</v>
      </c>
      <c r="E704" s="77" t="s">
        <v>1616</v>
      </c>
      <c r="F704" s="61" t="s">
        <v>2239</v>
      </c>
      <c r="G704" s="61" t="s">
        <v>508</v>
      </c>
      <c r="H704" s="61" t="s">
        <v>509</v>
      </c>
      <c r="I704" s="75" t="s">
        <v>2236</v>
      </c>
      <c r="J704" s="63"/>
      <c r="K704" s="84">
        <v>0</v>
      </c>
      <c r="L704" s="85">
        <v>0</v>
      </c>
      <c r="M704" s="61" t="s">
        <v>156</v>
      </c>
      <c r="N704" t="s">
        <v>68</v>
      </c>
    </row>
    <row r="705" spans="1:14" x14ac:dyDescent="0.25">
      <c r="A705" t="s">
        <v>67</v>
      </c>
      <c r="B705" s="114"/>
      <c r="C705" t="s">
        <v>4003</v>
      </c>
      <c r="D705" s="63" t="s">
        <v>1899</v>
      </c>
      <c r="G705" s="91" t="s">
        <v>4808</v>
      </c>
      <c r="H705" s="91" t="s">
        <v>4809</v>
      </c>
      <c r="L705" s="13">
        <v>0</v>
      </c>
      <c r="M705" t="s">
        <v>91</v>
      </c>
      <c r="N705" t="s">
        <v>68</v>
      </c>
    </row>
    <row r="706" spans="1:14" x14ac:dyDescent="0.25">
      <c r="A706" t="s">
        <v>67</v>
      </c>
      <c r="B706" s="114"/>
      <c r="C706" t="s">
        <v>4001</v>
      </c>
      <c r="D706" s="63" t="s">
        <v>1951</v>
      </c>
      <c r="G706" s="91" t="s">
        <v>4804</v>
      </c>
      <c r="H706" s="91" t="s">
        <v>4805</v>
      </c>
      <c r="L706" s="13">
        <v>1</v>
      </c>
      <c r="M706" t="s">
        <v>195</v>
      </c>
      <c r="N706" t="s">
        <v>68</v>
      </c>
    </row>
    <row r="707" spans="1:14" x14ac:dyDescent="0.25">
      <c r="A707" t="s">
        <v>67</v>
      </c>
      <c r="B707" s="114"/>
      <c r="C707" t="s">
        <v>4000</v>
      </c>
      <c r="D707" s="63" t="s">
        <v>6552</v>
      </c>
      <c r="G707" s="91" t="s">
        <v>4802</v>
      </c>
      <c r="H707" s="91" t="s">
        <v>4803</v>
      </c>
      <c r="L707" s="13">
        <v>0</v>
      </c>
      <c r="M707" t="s">
        <v>153</v>
      </c>
      <c r="N707" t="s">
        <v>68</v>
      </c>
    </row>
    <row r="708" spans="1:14" x14ac:dyDescent="0.25">
      <c r="A708" t="s">
        <v>67</v>
      </c>
      <c r="B708" s="114"/>
      <c r="C708" t="s">
        <v>4002</v>
      </c>
      <c r="D708" s="63" t="s">
        <v>6553</v>
      </c>
      <c r="G708" s="92" t="s">
        <v>4806</v>
      </c>
      <c r="H708" s="92" t="s">
        <v>4807</v>
      </c>
      <c r="L708" s="13">
        <v>1</v>
      </c>
      <c r="M708" t="s">
        <v>91</v>
      </c>
      <c r="N708" t="s">
        <v>68</v>
      </c>
    </row>
    <row r="709" spans="1:14" x14ac:dyDescent="0.25">
      <c r="A709" t="s">
        <v>72</v>
      </c>
      <c r="B709" s="114">
        <v>0</v>
      </c>
      <c r="C709" t="s">
        <v>2616</v>
      </c>
      <c r="D709" s="37" t="s">
        <v>6508</v>
      </c>
      <c r="G709" s="91" t="s">
        <v>3039</v>
      </c>
      <c r="H709" s="91" t="s">
        <v>4838</v>
      </c>
      <c r="L709" s="13" t="s">
        <v>605</v>
      </c>
      <c r="M709" t="s">
        <v>100</v>
      </c>
      <c r="N709" t="s">
        <v>68</v>
      </c>
    </row>
    <row r="710" spans="1:14" x14ac:dyDescent="0.25">
      <c r="A710" t="s">
        <v>72</v>
      </c>
      <c r="B710" s="115">
        <v>1</v>
      </c>
      <c r="C710" s="61" t="s">
        <v>202</v>
      </c>
      <c r="D710" s="61" t="s">
        <v>1952</v>
      </c>
      <c r="E710" s="77" t="s">
        <v>1608</v>
      </c>
      <c r="F710" s="61" t="s">
        <v>2185</v>
      </c>
      <c r="G710" s="61" t="s">
        <v>492</v>
      </c>
      <c r="H710" s="61" t="s">
        <v>493</v>
      </c>
      <c r="I710" s="75" t="s">
        <v>2407</v>
      </c>
      <c r="J710" s="63"/>
      <c r="K710" s="84">
        <v>0</v>
      </c>
      <c r="L710" s="85" t="s">
        <v>605</v>
      </c>
      <c r="M710" s="61" t="s">
        <v>91</v>
      </c>
      <c r="N710" t="s">
        <v>68</v>
      </c>
    </row>
    <row r="711" spans="1:14" x14ac:dyDescent="0.25">
      <c r="A711" t="s">
        <v>72</v>
      </c>
      <c r="B711" s="114">
        <v>2</v>
      </c>
      <c r="C711" t="s">
        <v>3998</v>
      </c>
      <c r="D711" s="37" t="s">
        <v>6507</v>
      </c>
      <c r="G711" s="91" t="s">
        <v>4798</v>
      </c>
      <c r="H711" s="91" t="s">
        <v>4799</v>
      </c>
      <c r="L711" s="13" t="s">
        <v>605</v>
      </c>
      <c r="M711" t="s">
        <v>91</v>
      </c>
      <c r="N711" t="s">
        <v>68</v>
      </c>
    </row>
    <row r="712" spans="1:14" x14ac:dyDescent="0.25">
      <c r="A712" t="s">
        <v>72</v>
      </c>
      <c r="B712" s="115">
        <v>3</v>
      </c>
      <c r="C712" s="61" t="s">
        <v>223</v>
      </c>
      <c r="D712" s="61" t="s">
        <v>6521</v>
      </c>
      <c r="E712" s="77" t="s">
        <v>1626</v>
      </c>
      <c r="F712" s="61" t="s">
        <v>2204</v>
      </c>
      <c r="G712" s="61" t="s">
        <v>528</v>
      </c>
      <c r="H712" s="61" t="s">
        <v>392</v>
      </c>
      <c r="I712" s="75" t="s">
        <v>2364</v>
      </c>
      <c r="J712" s="63"/>
      <c r="K712" s="84">
        <v>0</v>
      </c>
      <c r="L712" s="85" t="s">
        <v>605</v>
      </c>
      <c r="M712" s="61" t="s">
        <v>156</v>
      </c>
      <c r="N712" t="s">
        <v>68</v>
      </c>
    </row>
    <row r="713" spans="1:14" x14ac:dyDescent="0.25">
      <c r="A713" t="s">
        <v>72</v>
      </c>
      <c r="B713" s="115">
        <v>4</v>
      </c>
      <c r="C713" s="61" t="s">
        <v>224</v>
      </c>
      <c r="D713" s="61" t="s">
        <v>6522</v>
      </c>
      <c r="E713" s="77" t="s">
        <v>1627</v>
      </c>
      <c r="F713" s="61" t="s">
        <v>2205</v>
      </c>
      <c r="G713" s="61" t="s">
        <v>529</v>
      </c>
      <c r="H713" s="61" t="s">
        <v>394</v>
      </c>
      <c r="I713" s="75" t="s">
        <v>2365</v>
      </c>
      <c r="J713" s="63"/>
      <c r="K713" s="84">
        <v>0</v>
      </c>
      <c r="L713" s="85" t="s">
        <v>605</v>
      </c>
      <c r="M713" s="61" t="s">
        <v>156</v>
      </c>
      <c r="N713" t="s">
        <v>68</v>
      </c>
    </row>
    <row r="714" spans="1:14" x14ac:dyDescent="0.25">
      <c r="A714" t="s">
        <v>72</v>
      </c>
      <c r="B714" s="115">
        <v>5</v>
      </c>
      <c r="C714" s="61" t="s">
        <v>225</v>
      </c>
      <c r="D714" s="61" t="s">
        <v>1974</v>
      </c>
      <c r="E714" s="77" t="s">
        <v>1628</v>
      </c>
      <c r="F714" s="62" t="s">
        <v>2294</v>
      </c>
      <c r="G714" s="61" t="s">
        <v>530</v>
      </c>
      <c r="H714" s="61" t="s">
        <v>531</v>
      </c>
      <c r="I714" s="75" t="s">
        <v>2423</v>
      </c>
      <c r="J714" s="63" t="s">
        <v>3791</v>
      </c>
      <c r="K714" s="84">
        <v>0</v>
      </c>
      <c r="L714" s="85">
        <v>1</v>
      </c>
      <c r="M714" s="61" t="s">
        <v>92</v>
      </c>
      <c r="N714" t="s">
        <v>68</v>
      </c>
    </row>
    <row r="715" spans="1:14" x14ac:dyDescent="0.25">
      <c r="A715" t="s">
        <v>72</v>
      </c>
      <c r="B715" s="114">
        <v>6</v>
      </c>
      <c r="C715" t="s">
        <v>4018</v>
      </c>
      <c r="D715" s="61" t="s">
        <v>6561</v>
      </c>
      <c r="G715" s="91" t="s">
        <v>4839</v>
      </c>
      <c r="H715" s="91" t="s">
        <v>4840</v>
      </c>
      <c r="L715" s="13">
        <v>0</v>
      </c>
      <c r="M715" t="s">
        <v>92</v>
      </c>
      <c r="N715" t="s">
        <v>68</v>
      </c>
    </row>
    <row r="716" spans="1:14" x14ac:dyDescent="0.25">
      <c r="A716" t="s">
        <v>72</v>
      </c>
      <c r="B716" s="114">
        <v>11</v>
      </c>
      <c r="C716" t="s">
        <v>4019</v>
      </c>
      <c r="D716" s="61" t="s">
        <v>6516</v>
      </c>
      <c r="G716" s="91" t="s">
        <v>4841</v>
      </c>
      <c r="H716" s="91" t="s">
        <v>4842</v>
      </c>
      <c r="L716" s="13">
        <v>0</v>
      </c>
      <c r="M716" t="s">
        <v>195</v>
      </c>
      <c r="N716" t="s">
        <v>68</v>
      </c>
    </row>
    <row r="717" spans="1:14" x14ac:dyDescent="0.25">
      <c r="A717" t="s">
        <v>72</v>
      </c>
      <c r="B717" s="114">
        <v>11</v>
      </c>
      <c r="C717" t="s">
        <v>4022</v>
      </c>
      <c r="D717" s="61" t="s">
        <v>6517</v>
      </c>
      <c r="G717" s="91" t="s">
        <v>4848</v>
      </c>
      <c r="H717" s="91" t="s">
        <v>4849</v>
      </c>
      <c r="L717" s="13">
        <v>0</v>
      </c>
      <c r="M717" t="s">
        <v>3021</v>
      </c>
      <c r="N717" t="s">
        <v>68</v>
      </c>
    </row>
    <row r="718" spans="1:14" x14ac:dyDescent="0.25">
      <c r="A718" t="s">
        <v>72</v>
      </c>
      <c r="B718" s="115">
        <v>11</v>
      </c>
      <c r="C718" s="61" t="s">
        <v>226</v>
      </c>
      <c r="D718" s="61" t="s">
        <v>6520</v>
      </c>
      <c r="E718" s="77" t="s">
        <v>1629</v>
      </c>
      <c r="F718" s="61" t="s">
        <v>2247</v>
      </c>
      <c r="G718" s="61" t="s">
        <v>532</v>
      </c>
      <c r="H718" s="61" t="s">
        <v>533</v>
      </c>
      <c r="I718" s="75" t="s">
        <v>2424</v>
      </c>
      <c r="J718" s="63"/>
      <c r="K718" s="84">
        <v>0</v>
      </c>
      <c r="L718" s="85">
        <v>1</v>
      </c>
      <c r="M718" s="61" t="s">
        <v>195</v>
      </c>
      <c r="N718" t="s">
        <v>68</v>
      </c>
    </row>
    <row r="719" spans="1:14" x14ac:dyDescent="0.25">
      <c r="A719" t="s">
        <v>72</v>
      </c>
      <c r="B719" s="114">
        <v>11</v>
      </c>
      <c r="C719" t="s">
        <v>4021</v>
      </c>
      <c r="D719" s="61" t="s">
        <v>6506</v>
      </c>
      <c r="G719" s="91" t="s">
        <v>4846</v>
      </c>
      <c r="H719" s="91" t="s">
        <v>4847</v>
      </c>
      <c r="L719" s="13">
        <v>1</v>
      </c>
      <c r="M719" t="s">
        <v>195</v>
      </c>
      <c r="N719" t="s">
        <v>68</v>
      </c>
    </row>
    <row r="720" spans="1:14" x14ac:dyDescent="0.25">
      <c r="A720" t="s">
        <v>72</v>
      </c>
      <c r="B720" s="114">
        <v>11</v>
      </c>
      <c r="C720" t="s">
        <v>4025</v>
      </c>
      <c r="D720" s="61" t="s">
        <v>6513</v>
      </c>
      <c r="G720" s="91" t="s">
        <v>4854</v>
      </c>
      <c r="H720" s="91" t="s">
        <v>4855</v>
      </c>
      <c r="L720" s="13">
        <v>1</v>
      </c>
      <c r="M720" t="s">
        <v>3021</v>
      </c>
      <c r="N720" t="s">
        <v>68</v>
      </c>
    </row>
    <row r="721" spans="1:14" x14ac:dyDescent="0.25">
      <c r="A721" t="s">
        <v>72</v>
      </c>
      <c r="B721" s="114">
        <v>11</v>
      </c>
      <c r="C721" t="s">
        <v>4020</v>
      </c>
      <c r="D721" s="61" t="s">
        <v>6514</v>
      </c>
      <c r="G721" s="91" t="s">
        <v>4843</v>
      </c>
      <c r="H721" s="91" t="s">
        <v>4844</v>
      </c>
      <c r="L721" s="13">
        <v>0</v>
      </c>
      <c r="M721" t="s">
        <v>195</v>
      </c>
      <c r="N721" t="s">
        <v>68</v>
      </c>
    </row>
    <row r="722" spans="1:14" x14ac:dyDescent="0.25">
      <c r="A722" t="s">
        <v>72</v>
      </c>
      <c r="B722" s="114">
        <v>11</v>
      </c>
      <c r="C722" t="s">
        <v>4023</v>
      </c>
      <c r="D722" s="61" t="s">
        <v>6515</v>
      </c>
      <c r="G722" s="91" t="s">
        <v>4850</v>
      </c>
      <c r="H722" s="91" t="s">
        <v>4851</v>
      </c>
      <c r="L722" s="13">
        <v>0</v>
      </c>
      <c r="M722" t="s">
        <v>3021</v>
      </c>
      <c r="N722" t="s">
        <v>68</v>
      </c>
    </row>
    <row r="723" spans="1:14" x14ac:dyDescent="0.25">
      <c r="A723" t="s">
        <v>72</v>
      </c>
      <c r="B723" s="114">
        <v>11</v>
      </c>
      <c r="C723" t="s">
        <v>2656</v>
      </c>
      <c r="D723" s="61" t="s">
        <v>6518</v>
      </c>
      <c r="G723" s="91" t="s">
        <v>4845</v>
      </c>
      <c r="H723" s="91" t="s">
        <v>2896</v>
      </c>
      <c r="L723" s="13">
        <v>1</v>
      </c>
      <c r="M723" t="s">
        <v>195</v>
      </c>
      <c r="N723" t="s">
        <v>68</v>
      </c>
    </row>
    <row r="724" spans="1:14" x14ac:dyDescent="0.25">
      <c r="A724" t="s">
        <v>72</v>
      </c>
      <c r="B724" s="114">
        <v>11</v>
      </c>
      <c r="C724" t="s">
        <v>4024</v>
      </c>
      <c r="D724" s="61" t="s">
        <v>6519</v>
      </c>
      <c r="G724" s="91" t="s">
        <v>4852</v>
      </c>
      <c r="H724" s="91" t="s">
        <v>4853</v>
      </c>
      <c r="L724" s="13">
        <v>1</v>
      </c>
      <c r="M724" t="s">
        <v>3021</v>
      </c>
      <c r="N724" t="s">
        <v>68</v>
      </c>
    </row>
    <row r="725" spans="1:14" x14ac:dyDescent="0.25">
      <c r="A725" t="s">
        <v>72</v>
      </c>
      <c r="B725" s="115">
        <v>12</v>
      </c>
      <c r="C725" s="61" t="s">
        <v>227</v>
      </c>
      <c r="D725" s="61" t="s">
        <v>6509</v>
      </c>
      <c r="E725" s="77" t="s">
        <v>1630</v>
      </c>
      <c r="F725" s="61" t="s">
        <v>2248</v>
      </c>
      <c r="G725" s="61" t="s">
        <v>534</v>
      </c>
      <c r="H725" s="61" t="s">
        <v>535</v>
      </c>
      <c r="I725" s="75" t="s">
        <v>2425</v>
      </c>
      <c r="J725" s="63"/>
      <c r="K725" s="84">
        <v>0</v>
      </c>
      <c r="L725" s="85">
        <v>2</v>
      </c>
      <c r="M725" s="61" t="s">
        <v>195</v>
      </c>
      <c r="N725" t="s">
        <v>68</v>
      </c>
    </row>
    <row r="726" spans="1:14" x14ac:dyDescent="0.25">
      <c r="A726" t="s">
        <v>72</v>
      </c>
      <c r="B726" s="114">
        <v>13</v>
      </c>
      <c r="C726" t="s">
        <v>228</v>
      </c>
      <c r="D726" s="61" t="s">
        <v>6510</v>
      </c>
      <c r="G726" s="92" t="s">
        <v>536</v>
      </c>
      <c r="H726" s="91" t="s">
        <v>537</v>
      </c>
      <c r="L726" s="13">
        <v>0</v>
      </c>
      <c r="M726" t="s">
        <v>195</v>
      </c>
      <c r="N726" t="s">
        <v>68</v>
      </c>
    </row>
    <row r="727" spans="1:14" x14ac:dyDescent="0.25">
      <c r="A727" t="s">
        <v>72</v>
      </c>
      <c r="B727" s="115">
        <v>14</v>
      </c>
      <c r="C727" s="61" t="s">
        <v>229</v>
      </c>
      <c r="D727" s="61" t="s">
        <v>6511</v>
      </c>
      <c r="E727" s="77" t="s">
        <v>1632</v>
      </c>
      <c r="F727" s="62" t="s">
        <v>2250</v>
      </c>
      <c r="G727" s="61" t="s">
        <v>538</v>
      </c>
      <c r="H727" s="61" t="s">
        <v>539</v>
      </c>
      <c r="I727" s="75" t="s">
        <v>2427</v>
      </c>
      <c r="J727" s="63"/>
      <c r="K727" s="84">
        <v>0</v>
      </c>
      <c r="L727" s="85">
        <v>1</v>
      </c>
      <c r="M727" s="61" t="s">
        <v>195</v>
      </c>
      <c r="N727" t="s">
        <v>68</v>
      </c>
    </row>
    <row r="728" spans="1:14" x14ac:dyDescent="0.25">
      <c r="A728" t="s">
        <v>72</v>
      </c>
      <c r="B728" s="115">
        <v>15</v>
      </c>
      <c r="C728" s="61" t="s">
        <v>230</v>
      </c>
      <c r="D728" s="61" t="s">
        <v>6512</v>
      </c>
      <c r="E728" s="77" t="s">
        <v>1633</v>
      </c>
      <c r="F728" s="61" t="s">
        <v>2293</v>
      </c>
      <c r="G728" s="61" t="s">
        <v>540</v>
      </c>
      <c r="H728" s="61" t="s">
        <v>541</v>
      </c>
      <c r="I728" s="75" t="s">
        <v>2428</v>
      </c>
      <c r="J728" s="63"/>
      <c r="K728" s="84">
        <v>0</v>
      </c>
      <c r="L728" s="85">
        <v>2</v>
      </c>
      <c r="M728" s="61" t="s">
        <v>195</v>
      </c>
      <c r="N728" t="s">
        <v>68</v>
      </c>
    </row>
    <row r="729" spans="1:14" x14ac:dyDescent="0.25">
      <c r="A729" t="s">
        <v>72</v>
      </c>
      <c r="B729" s="114">
        <v>16</v>
      </c>
      <c r="C729" t="s">
        <v>4027</v>
      </c>
      <c r="D729" s="61" t="s">
        <v>6567</v>
      </c>
      <c r="G729" s="91" t="s">
        <v>4858</v>
      </c>
      <c r="H729" s="91" t="s">
        <v>4859</v>
      </c>
      <c r="L729" s="13">
        <v>0</v>
      </c>
      <c r="M729" t="s">
        <v>100</v>
      </c>
      <c r="N729" t="s">
        <v>68</v>
      </c>
    </row>
    <row r="730" spans="1:14" x14ac:dyDescent="0.25">
      <c r="A730" t="s">
        <v>72</v>
      </c>
      <c r="B730" s="114">
        <v>17</v>
      </c>
      <c r="C730" t="s">
        <v>4028</v>
      </c>
      <c r="D730" s="61" t="s">
        <v>6568</v>
      </c>
      <c r="G730" s="91" t="s">
        <v>4860</v>
      </c>
      <c r="H730" s="91" t="s">
        <v>4861</v>
      </c>
      <c r="L730" s="13">
        <v>2</v>
      </c>
      <c r="M730" t="s">
        <v>100</v>
      </c>
      <c r="N730" t="s">
        <v>68</v>
      </c>
    </row>
    <row r="731" spans="1:14" x14ac:dyDescent="0.25">
      <c r="A731" t="s">
        <v>72</v>
      </c>
      <c r="B731" s="114">
        <v>18</v>
      </c>
      <c r="C731" t="s">
        <v>4030</v>
      </c>
      <c r="D731" s="61" t="s">
        <v>6497</v>
      </c>
      <c r="G731" s="91" t="s">
        <v>4864</v>
      </c>
      <c r="H731" s="91" t="s">
        <v>4865</v>
      </c>
      <c r="L731" s="13">
        <v>2</v>
      </c>
      <c r="M731" t="s">
        <v>3006</v>
      </c>
      <c r="N731" t="s">
        <v>68</v>
      </c>
    </row>
    <row r="732" spans="1:14" x14ac:dyDescent="0.25">
      <c r="A732" t="s">
        <v>72</v>
      </c>
      <c r="B732" s="114">
        <v>18</v>
      </c>
      <c r="C732" t="s">
        <v>4029</v>
      </c>
      <c r="D732" s="61" t="s">
        <v>6523</v>
      </c>
      <c r="G732" s="91" t="s">
        <v>4862</v>
      </c>
      <c r="H732" s="91" t="s">
        <v>4863</v>
      </c>
      <c r="L732" s="13">
        <v>0</v>
      </c>
      <c r="M732" t="s">
        <v>221</v>
      </c>
      <c r="N732" t="s">
        <v>68</v>
      </c>
    </row>
    <row r="733" spans="1:14" x14ac:dyDescent="0.25">
      <c r="A733" t="s">
        <v>72</v>
      </c>
      <c r="B733" s="114">
        <v>21</v>
      </c>
      <c r="C733" t="s">
        <v>4041</v>
      </c>
      <c r="D733" s="61" t="s">
        <v>6524</v>
      </c>
      <c r="G733" s="91" t="s">
        <v>4885</v>
      </c>
      <c r="H733" s="91" t="s">
        <v>4886</v>
      </c>
      <c r="L733" s="13">
        <v>2</v>
      </c>
      <c r="M733" t="s">
        <v>221</v>
      </c>
      <c r="N733" t="s">
        <v>68</v>
      </c>
    </row>
    <row r="734" spans="1:14" x14ac:dyDescent="0.25">
      <c r="A734" t="s">
        <v>72</v>
      </c>
      <c r="B734" s="115">
        <v>21</v>
      </c>
      <c r="C734" s="61" t="s">
        <v>231</v>
      </c>
      <c r="D734" s="61" t="s">
        <v>6525</v>
      </c>
      <c r="E734" s="77" t="s">
        <v>1634</v>
      </c>
      <c r="F734" s="62" t="s">
        <v>2254</v>
      </c>
      <c r="G734" s="61" t="s">
        <v>542</v>
      </c>
      <c r="H734" s="61" t="s">
        <v>543</v>
      </c>
      <c r="I734" s="75" t="s">
        <v>2429</v>
      </c>
      <c r="J734" s="63"/>
      <c r="K734" s="84">
        <v>0</v>
      </c>
      <c r="L734" s="85">
        <v>2</v>
      </c>
      <c r="M734" s="61" t="s">
        <v>221</v>
      </c>
      <c r="N734" t="s">
        <v>68</v>
      </c>
    </row>
    <row r="735" spans="1:14" x14ac:dyDescent="0.25">
      <c r="A735" t="s">
        <v>72</v>
      </c>
      <c r="B735" s="114">
        <v>22</v>
      </c>
      <c r="C735" t="s">
        <v>4031</v>
      </c>
      <c r="D735" s="91" t="s">
        <v>6526</v>
      </c>
      <c r="G735" s="91" t="s">
        <v>4866</v>
      </c>
      <c r="H735" s="91" t="s">
        <v>4867</v>
      </c>
      <c r="L735" s="13">
        <v>1</v>
      </c>
      <c r="M735" t="s">
        <v>221</v>
      </c>
      <c r="N735" t="s">
        <v>68</v>
      </c>
    </row>
    <row r="736" spans="1:14" x14ac:dyDescent="0.25">
      <c r="A736" t="s">
        <v>72</v>
      </c>
      <c r="B736" s="114">
        <v>23</v>
      </c>
      <c r="C736" t="s">
        <v>4032</v>
      </c>
      <c r="D736" s="61" t="s">
        <v>6527</v>
      </c>
      <c r="G736" s="91" t="s">
        <v>4868</v>
      </c>
      <c r="H736" s="91" t="s">
        <v>4869</v>
      </c>
      <c r="L736" s="13">
        <v>1</v>
      </c>
      <c r="M736" t="s">
        <v>221</v>
      </c>
      <c r="N736" t="s">
        <v>68</v>
      </c>
    </row>
    <row r="737" spans="1:14" x14ac:dyDescent="0.25">
      <c r="A737" t="s">
        <v>72</v>
      </c>
      <c r="B737" s="114">
        <v>24</v>
      </c>
      <c r="C737" t="s">
        <v>4033</v>
      </c>
      <c r="D737" s="61" t="s">
        <v>6528</v>
      </c>
      <c r="G737" s="91" t="s">
        <v>4870</v>
      </c>
      <c r="H737" s="91" t="s">
        <v>4871</v>
      </c>
      <c r="L737" s="13">
        <v>1</v>
      </c>
      <c r="M737" t="s">
        <v>221</v>
      </c>
      <c r="N737" t="s">
        <v>68</v>
      </c>
    </row>
    <row r="738" spans="1:14" x14ac:dyDescent="0.25">
      <c r="A738" t="s">
        <v>72</v>
      </c>
      <c r="B738" s="115">
        <v>25</v>
      </c>
      <c r="C738" s="61" t="s">
        <v>232</v>
      </c>
      <c r="D738" s="61" t="s">
        <v>6529</v>
      </c>
      <c r="E738" s="77" t="s">
        <v>1635</v>
      </c>
      <c r="F738" s="62" t="s">
        <v>2255</v>
      </c>
      <c r="G738" s="61" t="s">
        <v>544</v>
      </c>
      <c r="H738" s="61" t="s">
        <v>545</v>
      </c>
      <c r="I738" s="75" t="s">
        <v>2430</v>
      </c>
      <c r="J738" s="63"/>
      <c r="K738" s="84">
        <v>0</v>
      </c>
      <c r="L738" s="85">
        <v>2</v>
      </c>
      <c r="M738" s="61" t="s">
        <v>221</v>
      </c>
      <c r="N738" t="s">
        <v>68</v>
      </c>
    </row>
    <row r="739" spans="1:14" x14ac:dyDescent="0.25">
      <c r="A739" t="s">
        <v>72</v>
      </c>
      <c r="B739" s="115">
        <v>26</v>
      </c>
      <c r="C739" s="61" t="s">
        <v>233</v>
      </c>
      <c r="D739" s="61" t="s">
        <v>6530</v>
      </c>
      <c r="E739" s="77" t="s">
        <v>1636</v>
      </c>
      <c r="F739" s="62" t="s">
        <v>2258</v>
      </c>
      <c r="G739" s="61" t="s">
        <v>546</v>
      </c>
      <c r="H739" s="61" t="s">
        <v>547</v>
      </c>
      <c r="I739" s="75" t="s">
        <v>2431</v>
      </c>
      <c r="J739" s="63"/>
      <c r="K739" s="84">
        <v>0</v>
      </c>
      <c r="L739" s="85">
        <v>2</v>
      </c>
      <c r="M739" s="61" t="s">
        <v>221</v>
      </c>
      <c r="N739" t="s">
        <v>68</v>
      </c>
    </row>
    <row r="740" spans="1:14" x14ac:dyDescent="0.25">
      <c r="A740" t="s">
        <v>72</v>
      </c>
      <c r="B740" s="115">
        <v>27</v>
      </c>
      <c r="C740" s="61" t="s">
        <v>234</v>
      </c>
      <c r="D740" s="61" t="s">
        <v>1979</v>
      </c>
      <c r="E740" s="77" t="s">
        <v>1637</v>
      </c>
      <c r="F740" s="61" t="s">
        <v>2257</v>
      </c>
      <c r="G740" s="61" t="s">
        <v>548</v>
      </c>
      <c r="H740" s="61" t="s">
        <v>549</v>
      </c>
      <c r="I740" s="75" t="s">
        <v>2256</v>
      </c>
      <c r="J740" s="63"/>
      <c r="K740" s="84">
        <v>0</v>
      </c>
      <c r="L740" s="85">
        <v>1</v>
      </c>
      <c r="M740" s="61" t="s">
        <v>222</v>
      </c>
      <c r="N740" t="s">
        <v>68</v>
      </c>
    </row>
    <row r="741" spans="1:14" x14ac:dyDescent="0.25">
      <c r="A741" t="s">
        <v>72</v>
      </c>
      <c r="B741" s="114">
        <v>28</v>
      </c>
      <c r="C741" t="s">
        <v>4034</v>
      </c>
      <c r="D741" s="61" t="s">
        <v>6498</v>
      </c>
      <c r="G741" s="91" t="s">
        <v>4872</v>
      </c>
      <c r="H741" s="91" t="s">
        <v>4873</v>
      </c>
      <c r="L741" s="13">
        <v>0</v>
      </c>
      <c r="M741" t="s">
        <v>211</v>
      </c>
      <c r="N741" t="s">
        <v>68</v>
      </c>
    </row>
    <row r="742" spans="1:14" x14ac:dyDescent="0.25">
      <c r="A742" t="s">
        <v>72</v>
      </c>
      <c r="B742" s="114">
        <v>29</v>
      </c>
      <c r="C742" t="s">
        <v>4035</v>
      </c>
      <c r="D742" s="91" t="s">
        <v>6499</v>
      </c>
      <c r="G742" s="91" t="s">
        <v>4874</v>
      </c>
      <c r="H742" s="91" t="s">
        <v>4875</v>
      </c>
      <c r="L742" s="13">
        <v>0</v>
      </c>
      <c r="M742" t="s">
        <v>6335</v>
      </c>
      <c r="N742" t="s">
        <v>68</v>
      </c>
    </row>
    <row r="743" spans="1:14" x14ac:dyDescent="0.25">
      <c r="A743" t="s">
        <v>72</v>
      </c>
      <c r="B743" s="114">
        <v>29</v>
      </c>
      <c r="C743" t="s">
        <v>4036</v>
      </c>
      <c r="D743" s="91" t="s">
        <v>4877</v>
      </c>
      <c r="G743" s="91" t="s">
        <v>4876</v>
      </c>
      <c r="H743" s="91" t="s">
        <v>4877</v>
      </c>
      <c r="L743" s="13">
        <v>0</v>
      </c>
      <c r="N743" t="s">
        <v>68</v>
      </c>
    </row>
    <row r="744" spans="1:14" x14ac:dyDescent="0.25">
      <c r="A744" t="s">
        <v>72</v>
      </c>
      <c r="B744" s="114">
        <v>31</v>
      </c>
      <c r="C744" t="s">
        <v>4037</v>
      </c>
      <c r="D744" s="91" t="s">
        <v>6500</v>
      </c>
      <c r="G744" s="91" t="s">
        <v>4878</v>
      </c>
      <c r="H744" s="91" t="s">
        <v>4879</v>
      </c>
      <c r="L744" s="13">
        <v>1</v>
      </c>
      <c r="M744" t="s">
        <v>3008</v>
      </c>
      <c r="N744" t="s">
        <v>68</v>
      </c>
    </row>
    <row r="745" spans="1:14" x14ac:dyDescent="0.25">
      <c r="A745" t="s">
        <v>72</v>
      </c>
      <c r="B745" s="114">
        <v>32</v>
      </c>
      <c r="C745" t="s">
        <v>4039</v>
      </c>
      <c r="D745" s="91" t="s">
        <v>6531</v>
      </c>
      <c r="G745" s="91" t="s">
        <v>4881</v>
      </c>
      <c r="H745" s="91" t="s">
        <v>4882</v>
      </c>
      <c r="L745" s="13">
        <v>1</v>
      </c>
      <c r="M745" t="s">
        <v>195</v>
      </c>
      <c r="N745" t="s">
        <v>68</v>
      </c>
    </row>
    <row r="746" spans="1:14" x14ac:dyDescent="0.25">
      <c r="A746" t="s">
        <v>72</v>
      </c>
      <c r="B746" s="114">
        <v>35</v>
      </c>
      <c r="C746" t="s">
        <v>4040</v>
      </c>
      <c r="D746" s="91" t="s">
        <v>6501</v>
      </c>
      <c r="G746" s="91" t="s">
        <v>4883</v>
      </c>
      <c r="H746" s="91" t="s">
        <v>4884</v>
      </c>
      <c r="L746" s="13">
        <v>0</v>
      </c>
      <c r="M746" t="s">
        <v>6336</v>
      </c>
      <c r="N746" t="s">
        <v>68</v>
      </c>
    </row>
    <row r="747" spans="1:14" x14ac:dyDescent="0.25">
      <c r="A747" t="s">
        <v>72</v>
      </c>
      <c r="B747" s="114">
        <v>36</v>
      </c>
      <c r="C747" t="s">
        <v>4042</v>
      </c>
      <c r="D747" s="91" t="s">
        <v>6502</v>
      </c>
      <c r="G747" s="91" t="s">
        <v>4887</v>
      </c>
      <c r="H747" s="91" t="s">
        <v>4888</v>
      </c>
      <c r="L747" s="13">
        <v>1</v>
      </c>
      <c r="M747" t="s">
        <v>100</v>
      </c>
      <c r="N747" t="s">
        <v>68</v>
      </c>
    </row>
    <row r="748" spans="1:14" x14ac:dyDescent="0.25">
      <c r="A748" t="s">
        <v>72</v>
      </c>
      <c r="B748" s="114">
        <v>36</v>
      </c>
      <c r="C748" s="37" t="s">
        <v>4043</v>
      </c>
      <c r="D748" s="93" t="s">
        <v>6503</v>
      </c>
      <c r="G748" s="91" t="s">
        <v>4889</v>
      </c>
      <c r="H748" s="91" t="s">
        <v>4890</v>
      </c>
      <c r="L748" s="13">
        <v>0</v>
      </c>
      <c r="M748" t="s">
        <v>100</v>
      </c>
      <c r="N748" t="s">
        <v>68</v>
      </c>
    </row>
    <row r="749" spans="1:14" x14ac:dyDescent="0.25">
      <c r="A749" t="s">
        <v>72</v>
      </c>
      <c r="B749" s="114">
        <v>37</v>
      </c>
      <c r="C749" t="s">
        <v>2667</v>
      </c>
      <c r="D749" s="91" t="s">
        <v>6504</v>
      </c>
      <c r="G749" s="91" t="s">
        <v>4891</v>
      </c>
      <c r="H749" s="91" t="s">
        <v>2870</v>
      </c>
      <c r="L749" s="13">
        <v>0</v>
      </c>
      <c r="M749" t="s">
        <v>100</v>
      </c>
      <c r="N749" t="s">
        <v>68</v>
      </c>
    </row>
    <row r="750" spans="1:14" x14ac:dyDescent="0.25">
      <c r="A750" t="s">
        <v>72</v>
      </c>
      <c r="B750" s="114">
        <v>41</v>
      </c>
      <c r="C750" t="s">
        <v>4044</v>
      </c>
      <c r="D750" s="91" t="s">
        <v>6544</v>
      </c>
      <c r="G750" s="91" t="s">
        <v>4892</v>
      </c>
      <c r="H750" s="91" t="s">
        <v>4893</v>
      </c>
      <c r="L750" s="13">
        <v>0</v>
      </c>
      <c r="M750" t="s">
        <v>6337</v>
      </c>
      <c r="N750" t="s">
        <v>68</v>
      </c>
    </row>
    <row r="751" spans="1:14" x14ac:dyDescent="0.25">
      <c r="A751" t="s">
        <v>72</v>
      </c>
      <c r="B751" s="114">
        <v>42</v>
      </c>
      <c r="C751" t="s">
        <v>4045</v>
      </c>
      <c r="D751" s="91" t="s">
        <v>6545</v>
      </c>
      <c r="G751" s="91" t="s">
        <v>4894</v>
      </c>
      <c r="H751" s="91" t="s">
        <v>4895</v>
      </c>
      <c r="L751" s="13">
        <v>0</v>
      </c>
      <c r="M751" t="s">
        <v>6337</v>
      </c>
      <c r="N751" t="s">
        <v>68</v>
      </c>
    </row>
    <row r="752" spans="1:14" x14ac:dyDescent="0.25">
      <c r="A752" t="s">
        <v>72</v>
      </c>
      <c r="B752" s="114">
        <v>43</v>
      </c>
      <c r="C752" t="s">
        <v>2660</v>
      </c>
      <c r="D752" s="91" t="s">
        <v>6532</v>
      </c>
      <c r="E752" t="s">
        <v>3007</v>
      </c>
      <c r="G752" s="91" t="s">
        <v>4896</v>
      </c>
      <c r="H752" s="91" t="s">
        <v>2863</v>
      </c>
      <c r="L752" s="13">
        <v>0</v>
      </c>
      <c r="M752" t="s">
        <v>3007</v>
      </c>
      <c r="N752" t="s">
        <v>68</v>
      </c>
    </row>
    <row r="753" spans="1:14" x14ac:dyDescent="0.25">
      <c r="A753" t="s">
        <v>72</v>
      </c>
      <c r="B753" s="114">
        <v>44</v>
      </c>
      <c r="C753" t="s">
        <v>4046</v>
      </c>
      <c r="D753" s="91" t="s">
        <v>6533</v>
      </c>
      <c r="E753" t="s">
        <v>3007</v>
      </c>
      <c r="G753" s="91" t="s">
        <v>4897</v>
      </c>
      <c r="H753" s="91" t="s">
        <v>4898</v>
      </c>
      <c r="L753" s="13">
        <v>0</v>
      </c>
      <c r="M753" t="s">
        <v>3007</v>
      </c>
      <c r="N753" t="s">
        <v>68</v>
      </c>
    </row>
    <row r="754" spans="1:14" x14ac:dyDescent="0.25">
      <c r="A754" t="s">
        <v>72</v>
      </c>
      <c r="B754" s="114">
        <v>45</v>
      </c>
      <c r="C754" t="s">
        <v>4047</v>
      </c>
      <c r="D754" s="91" t="s">
        <v>6534</v>
      </c>
      <c r="E754" t="s">
        <v>3007</v>
      </c>
      <c r="G754" s="91" t="s">
        <v>4899</v>
      </c>
      <c r="H754" s="91" t="s">
        <v>4900</v>
      </c>
      <c r="L754" s="13">
        <v>0</v>
      </c>
      <c r="M754" t="s">
        <v>3007</v>
      </c>
      <c r="N754" t="s">
        <v>68</v>
      </c>
    </row>
    <row r="755" spans="1:14" x14ac:dyDescent="0.25">
      <c r="A755" t="s">
        <v>72</v>
      </c>
      <c r="B755" s="114">
        <v>46</v>
      </c>
      <c r="C755" t="s">
        <v>4048</v>
      </c>
      <c r="D755" s="91" t="s">
        <v>6535</v>
      </c>
      <c r="E755" t="s">
        <v>6338</v>
      </c>
      <c r="G755" s="91" t="s">
        <v>4901</v>
      </c>
      <c r="H755" s="91" t="s">
        <v>4902</v>
      </c>
      <c r="L755" s="13">
        <v>0</v>
      </c>
      <c r="M755" t="s">
        <v>6338</v>
      </c>
      <c r="N755" t="s">
        <v>68</v>
      </c>
    </row>
    <row r="756" spans="1:14" x14ac:dyDescent="0.25">
      <c r="A756" t="s">
        <v>72</v>
      </c>
      <c r="B756" s="114">
        <v>47</v>
      </c>
      <c r="C756" t="s">
        <v>4049</v>
      </c>
      <c r="D756" t="s">
        <v>6536</v>
      </c>
      <c r="E756" t="s">
        <v>6339</v>
      </c>
      <c r="G756" s="91" t="s">
        <v>4903</v>
      </c>
      <c r="H756" s="91" t="s">
        <v>4904</v>
      </c>
      <c r="L756" s="13">
        <v>0</v>
      </c>
      <c r="M756" t="s">
        <v>6339</v>
      </c>
      <c r="N756" t="s">
        <v>68</v>
      </c>
    </row>
    <row r="757" spans="1:14" x14ac:dyDescent="0.25">
      <c r="A757" t="s">
        <v>72</v>
      </c>
      <c r="B757" s="114">
        <v>48</v>
      </c>
      <c r="C757" t="s">
        <v>2661</v>
      </c>
      <c r="D757" s="91" t="s">
        <v>6537</v>
      </c>
      <c r="E757" t="s">
        <v>3008</v>
      </c>
      <c r="G757" s="91" t="s">
        <v>4905</v>
      </c>
      <c r="H757" s="91" t="s">
        <v>2864</v>
      </c>
      <c r="L757" s="13">
        <v>0</v>
      </c>
      <c r="M757" t="s">
        <v>3008</v>
      </c>
      <c r="N757" t="s">
        <v>68</v>
      </c>
    </row>
    <row r="758" spans="1:14" x14ac:dyDescent="0.25">
      <c r="A758" t="s">
        <v>72</v>
      </c>
      <c r="B758" s="114">
        <v>49</v>
      </c>
      <c r="C758" t="s">
        <v>4050</v>
      </c>
      <c r="D758" s="91" t="s">
        <v>6538</v>
      </c>
      <c r="G758" s="91" t="s">
        <v>4906</v>
      </c>
      <c r="H758" s="91" t="s">
        <v>4907</v>
      </c>
      <c r="L758" s="13">
        <v>0</v>
      </c>
      <c r="M758" t="s">
        <v>6340</v>
      </c>
      <c r="N758" t="s">
        <v>68</v>
      </c>
    </row>
    <row r="759" spans="1:14" x14ac:dyDescent="0.25">
      <c r="A759" t="s">
        <v>72</v>
      </c>
      <c r="B759" s="114">
        <v>50</v>
      </c>
      <c r="C759" t="s">
        <v>4051</v>
      </c>
      <c r="D759" s="91" t="s">
        <v>6539</v>
      </c>
      <c r="G759" s="91" t="s">
        <v>4908</v>
      </c>
      <c r="H759" s="91" t="s">
        <v>4909</v>
      </c>
      <c r="L759" s="13">
        <v>0</v>
      </c>
      <c r="M759" t="s">
        <v>3008</v>
      </c>
      <c r="N759" t="s">
        <v>68</v>
      </c>
    </row>
    <row r="760" spans="1:14" x14ac:dyDescent="0.25">
      <c r="A760" t="s">
        <v>72</v>
      </c>
      <c r="B760" s="114">
        <v>51</v>
      </c>
      <c r="C760" t="s">
        <v>4052</v>
      </c>
      <c r="D760" s="91" t="s">
        <v>6540</v>
      </c>
      <c r="G760" s="91" t="s">
        <v>4910</v>
      </c>
      <c r="H760" s="91" t="s">
        <v>4911</v>
      </c>
      <c r="L760" s="13">
        <v>0</v>
      </c>
      <c r="M760" t="s">
        <v>3011</v>
      </c>
      <c r="N760" t="s">
        <v>68</v>
      </c>
    </row>
    <row r="761" spans="1:14" x14ac:dyDescent="0.25">
      <c r="A761" t="s">
        <v>72</v>
      </c>
      <c r="B761" s="114">
        <v>52</v>
      </c>
      <c r="C761" t="s">
        <v>4053</v>
      </c>
      <c r="D761" s="91" t="s">
        <v>6541</v>
      </c>
      <c r="G761" s="91" t="s">
        <v>4912</v>
      </c>
      <c r="H761" s="91" t="s">
        <v>4913</v>
      </c>
      <c r="L761" s="13">
        <v>0</v>
      </c>
      <c r="M761" t="s">
        <v>3011</v>
      </c>
      <c r="N761" t="s">
        <v>68</v>
      </c>
    </row>
    <row r="762" spans="1:14" x14ac:dyDescent="0.25">
      <c r="A762" t="s">
        <v>72</v>
      </c>
      <c r="B762" s="114">
        <v>53</v>
      </c>
      <c r="C762" t="s">
        <v>4054</v>
      </c>
      <c r="D762" s="91" t="s">
        <v>6542</v>
      </c>
      <c r="G762" s="91" t="s">
        <v>4914</v>
      </c>
      <c r="H762" s="91" t="s">
        <v>3711</v>
      </c>
      <c r="L762" s="13">
        <v>0</v>
      </c>
      <c r="M762" t="s">
        <v>3008</v>
      </c>
      <c r="N762" t="s">
        <v>68</v>
      </c>
    </row>
    <row r="763" spans="1:14" x14ac:dyDescent="0.25">
      <c r="A763" t="s">
        <v>72</v>
      </c>
      <c r="B763" s="114">
        <v>54</v>
      </c>
      <c r="C763" t="s">
        <v>4055</v>
      </c>
      <c r="D763" s="91" t="s">
        <v>6543</v>
      </c>
      <c r="G763" s="91" t="s">
        <v>4915</v>
      </c>
      <c r="H763" s="91" t="s">
        <v>3712</v>
      </c>
      <c r="L763" s="13">
        <v>0</v>
      </c>
      <c r="M763" t="s">
        <v>6341</v>
      </c>
      <c r="N763" t="s">
        <v>68</v>
      </c>
    </row>
    <row r="764" spans="1:14" x14ac:dyDescent="0.25">
      <c r="A764" t="s">
        <v>72</v>
      </c>
      <c r="B764" s="114">
        <v>55</v>
      </c>
      <c r="C764" t="s">
        <v>4056</v>
      </c>
      <c r="D764" s="91" t="s">
        <v>6547</v>
      </c>
      <c r="G764" s="91" t="s">
        <v>4916</v>
      </c>
      <c r="H764" s="91" t="s">
        <v>4917</v>
      </c>
      <c r="L764" s="13">
        <v>0</v>
      </c>
      <c r="M764" t="s">
        <v>3008</v>
      </c>
      <c r="N764" t="s">
        <v>68</v>
      </c>
    </row>
    <row r="765" spans="1:14" x14ac:dyDescent="0.25">
      <c r="A765" t="s">
        <v>72</v>
      </c>
      <c r="B765" s="114">
        <v>56</v>
      </c>
      <c r="C765" t="s">
        <v>4057</v>
      </c>
      <c r="D765" s="91" t="s">
        <v>6546</v>
      </c>
      <c r="G765" s="91" t="s">
        <v>4918</v>
      </c>
      <c r="H765" s="91" t="s">
        <v>4919</v>
      </c>
      <c r="L765" s="13">
        <v>0</v>
      </c>
      <c r="M765" t="s">
        <v>3011</v>
      </c>
      <c r="N765" t="s">
        <v>68</v>
      </c>
    </row>
    <row r="766" spans="1:14" x14ac:dyDescent="0.25">
      <c r="A766" t="s">
        <v>72</v>
      </c>
      <c r="B766" s="114">
        <v>61</v>
      </c>
      <c r="C766" t="s">
        <v>4058</v>
      </c>
      <c r="D766" s="91" t="s">
        <v>6548</v>
      </c>
      <c r="G766" s="91" t="s">
        <v>4920</v>
      </c>
      <c r="H766" s="91" t="s">
        <v>4921</v>
      </c>
      <c r="L766" s="13">
        <v>0</v>
      </c>
      <c r="M766" t="s">
        <v>3008</v>
      </c>
      <c r="N766" t="s">
        <v>68</v>
      </c>
    </row>
    <row r="767" spans="1:14" x14ac:dyDescent="0.25">
      <c r="A767" t="s">
        <v>72</v>
      </c>
      <c r="B767" s="114">
        <v>62</v>
      </c>
      <c r="C767" t="s">
        <v>4059</v>
      </c>
      <c r="D767" s="93" t="s">
        <v>6549</v>
      </c>
      <c r="G767" s="91" t="s">
        <v>4922</v>
      </c>
      <c r="H767" s="91" t="s">
        <v>4923</v>
      </c>
      <c r="L767" s="13">
        <v>0</v>
      </c>
      <c r="M767" s="37" t="s">
        <v>6342</v>
      </c>
      <c r="N767" t="s">
        <v>68</v>
      </c>
    </row>
    <row r="768" spans="1:14" x14ac:dyDescent="0.25">
      <c r="A768" t="s">
        <v>72</v>
      </c>
      <c r="B768" s="114">
        <v>63</v>
      </c>
      <c r="C768" t="s">
        <v>4060</v>
      </c>
      <c r="D768" s="93" t="s">
        <v>6550</v>
      </c>
      <c r="G768" s="91" t="s">
        <v>4924</v>
      </c>
      <c r="H768" s="91" t="s">
        <v>4925</v>
      </c>
      <c r="L768" s="13">
        <v>0</v>
      </c>
      <c r="M768" t="s">
        <v>100</v>
      </c>
      <c r="N768" t="s">
        <v>68</v>
      </c>
    </row>
    <row r="769" spans="1:14" x14ac:dyDescent="0.25">
      <c r="A769" t="s">
        <v>72</v>
      </c>
      <c r="B769" s="114"/>
      <c r="C769" s="37" t="s">
        <v>4038</v>
      </c>
      <c r="D769" s="91" t="s">
        <v>3349</v>
      </c>
      <c r="G769" s="91" t="s">
        <v>4880</v>
      </c>
      <c r="H769" s="91"/>
      <c r="L769" s="13">
        <v>0</v>
      </c>
      <c r="N769" t="s">
        <v>68</v>
      </c>
    </row>
    <row r="770" spans="1:14" x14ac:dyDescent="0.25">
      <c r="A770" t="s">
        <v>72</v>
      </c>
      <c r="B770" s="114"/>
      <c r="C770" t="s">
        <v>4026</v>
      </c>
      <c r="D770" s="91" t="s">
        <v>6551</v>
      </c>
      <c r="G770" s="91" t="s">
        <v>4856</v>
      </c>
      <c r="H770" s="91" t="s">
        <v>4857</v>
      </c>
      <c r="L770" s="13">
        <v>0</v>
      </c>
      <c r="M770" t="s">
        <v>6334</v>
      </c>
      <c r="N770" t="s">
        <v>68</v>
      </c>
    </row>
    <row r="771" spans="1:14" x14ac:dyDescent="0.25">
      <c r="A771" t="s">
        <v>69</v>
      </c>
      <c r="B771" s="114">
        <v>0</v>
      </c>
      <c r="C771" t="s">
        <v>2616</v>
      </c>
      <c r="D771" s="91" t="s">
        <v>1926</v>
      </c>
      <c r="G771" s="91" t="s">
        <v>3039</v>
      </c>
      <c r="H771" s="91" t="s">
        <v>4797</v>
      </c>
      <c r="L771" s="13" t="s">
        <v>605</v>
      </c>
      <c r="M771" t="s">
        <v>100</v>
      </c>
      <c r="N771" t="s">
        <v>68</v>
      </c>
    </row>
    <row r="772" spans="1:14" x14ac:dyDescent="0.25">
      <c r="A772" t="s">
        <v>69</v>
      </c>
      <c r="B772" s="115">
        <v>1</v>
      </c>
      <c r="C772" s="61" t="s">
        <v>202</v>
      </c>
      <c r="D772" s="61" t="s">
        <v>1952</v>
      </c>
      <c r="E772" s="77" t="s">
        <v>1608</v>
      </c>
      <c r="F772" s="61" t="s">
        <v>2185</v>
      </c>
      <c r="G772" s="61" t="s">
        <v>492</v>
      </c>
      <c r="H772" s="61" t="s">
        <v>493</v>
      </c>
      <c r="I772" s="75" t="s">
        <v>2407</v>
      </c>
      <c r="J772" s="63"/>
      <c r="K772" s="84">
        <v>0</v>
      </c>
      <c r="L772" s="85" t="s">
        <v>605</v>
      </c>
      <c r="M772" s="61" t="s">
        <v>91</v>
      </c>
      <c r="N772" t="s">
        <v>68</v>
      </c>
    </row>
    <row r="773" spans="1:14" x14ac:dyDescent="0.25">
      <c r="A773" t="s">
        <v>69</v>
      </c>
      <c r="B773" s="115">
        <v>2</v>
      </c>
      <c r="C773" s="61" t="s">
        <v>212</v>
      </c>
      <c r="D773" s="61" t="s">
        <v>1972</v>
      </c>
      <c r="E773" s="77" t="s">
        <v>1617</v>
      </c>
      <c r="F773" s="61" t="s">
        <v>2237</v>
      </c>
      <c r="G773" s="61" t="s">
        <v>510</v>
      </c>
      <c r="H773" s="61" t="s">
        <v>511</v>
      </c>
      <c r="I773" s="75" t="s">
        <v>2415</v>
      </c>
      <c r="J773" s="63"/>
      <c r="K773" s="84">
        <v>0</v>
      </c>
      <c r="L773" s="85">
        <v>1</v>
      </c>
      <c r="M773" s="61" t="s">
        <v>91</v>
      </c>
      <c r="N773" t="s">
        <v>68</v>
      </c>
    </row>
    <row r="774" spans="1:14" x14ac:dyDescent="0.25">
      <c r="A774" t="s">
        <v>69</v>
      </c>
      <c r="B774" s="115">
        <v>3</v>
      </c>
      <c r="C774" s="61" t="s">
        <v>213</v>
      </c>
      <c r="D774" s="61" t="s">
        <v>513</v>
      </c>
      <c r="E774" s="77" t="s">
        <v>1618</v>
      </c>
      <c r="F774" s="61" t="s">
        <v>2243</v>
      </c>
      <c r="G774" s="61" t="s">
        <v>512</v>
      </c>
      <c r="H774" s="61" t="s">
        <v>513</v>
      </c>
      <c r="I774" s="75" t="s">
        <v>2416</v>
      </c>
      <c r="J774" s="63"/>
      <c r="K774" s="84">
        <v>0</v>
      </c>
      <c r="L774" s="85">
        <v>1</v>
      </c>
      <c r="M774" s="61" t="s">
        <v>91</v>
      </c>
      <c r="N774" t="s">
        <v>68</v>
      </c>
    </row>
    <row r="775" spans="1:14" x14ac:dyDescent="0.25">
      <c r="A775" t="s">
        <v>69</v>
      </c>
      <c r="B775" s="115">
        <v>4</v>
      </c>
      <c r="C775" s="61" t="s">
        <v>214</v>
      </c>
      <c r="D775" s="61" t="s">
        <v>6574</v>
      </c>
      <c r="E775" s="77" t="s">
        <v>1619</v>
      </c>
      <c r="F775" s="61" t="s">
        <v>2244</v>
      </c>
      <c r="G775" s="61" t="s">
        <v>514</v>
      </c>
      <c r="H775" s="61" t="s">
        <v>515</v>
      </c>
      <c r="I775" s="75" t="s">
        <v>2417</v>
      </c>
      <c r="J775" s="63" t="s">
        <v>3596</v>
      </c>
      <c r="K775" s="84">
        <v>0</v>
      </c>
      <c r="L775" s="85">
        <v>0</v>
      </c>
      <c r="M775" s="61" t="s">
        <v>92</v>
      </c>
      <c r="N775" t="s">
        <v>68</v>
      </c>
    </row>
    <row r="776" spans="1:14" x14ac:dyDescent="0.25">
      <c r="A776" t="s">
        <v>69</v>
      </c>
      <c r="B776" s="115">
        <v>11</v>
      </c>
      <c r="C776" s="61" t="s">
        <v>215</v>
      </c>
      <c r="D776" s="61" t="s">
        <v>6572</v>
      </c>
      <c r="E776" s="77" t="s">
        <v>1620</v>
      </c>
      <c r="F776" s="61" t="s">
        <v>2240</v>
      </c>
      <c r="G776" s="61" t="s">
        <v>516</v>
      </c>
      <c r="H776" s="61" t="s">
        <v>517</v>
      </c>
      <c r="I776" s="75" t="s">
        <v>2418</v>
      </c>
      <c r="J776" s="63"/>
      <c r="K776" s="84">
        <v>0</v>
      </c>
      <c r="L776" s="85">
        <v>0</v>
      </c>
      <c r="M776" s="61" t="s">
        <v>157</v>
      </c>
      <c r="N776" t="s">
        <v>68</v>
      </c>
    </row>
    <row r="777" spans="1:14" x14ac:dyDescent="0.25">
      <c r="A777" t="s">
        <v>69</v>
      </c>
      <c r="B777" s="114">
        <v>12</v>
      </c>
      <c r="C777" t="s">
        <v>4004</v>
      </c>
      <c r="D777" s="91" t="s">
        <v>6570</v>
      </c>
      <c r="G777" s="91" t="s">
        <v>4810</v>
      </c>
      <c r="H777" s="91" t="s">
        <v>4811</v>
      </c>
      <c r="L777" s="13">
        <v>2</v>
      </c>
      <c r="M777" t="s">
        <v>157</v>
      </c>
      <c r="N777" t="s">
        <v>68</v>
      </c>
    </row>
    <row r="778" spans="1:14" x14ac:dyDescent="0.25">
      <c r="A778" t="s">
        <v>69</v>
      </c>
      <c r="B778" s="115">
        <v>13</v>
      </c>
      <c r="C778" s="61" t="s">
        <v>216</v>
      </c>
      <c r="D778" s="61" t="s">
        <v>6573</v>
      </c>
      <c r="E778" s="77" t="s">
        <v>1621</v>
      </c>
      <c r="F778" s="62" t="s">
        <v>2241</v>
      </c>
      <c r="G778" s="61" t="s">
        <v>518</v>
      </c>
      <c r="H778" s="61" t="s">
        <v>519</v>
      </c>
      <c r="I778" s="75" t="s">
        <v>2419</v>
      </c>
      <c r="J778" s="63"/>
      <c r="K778" s="84">
        <v>0</v>
      </c>
      <c r="L778" s="85">
        <v>0</v>
      </c>
      <c r="M778" s="61" t="s">
        <v>165</v>
      </c>
      <c r="N778" t="s">
        <v>68</v>
      </c>
    </row>
    <row r="779" spans="1:14" x14ac:dyDescent="0.25">
      <c r="A779" t="s">
        <v>69</v>
      </c>
      <c r="B779" s="115">
        <v>14</v>
      </c>
      <c r="C779" s="61" t="s">
        <v>217</v>
      </c>
      <c r="D779" s="61" t="s">
        <v>1904</v>
      </c>
      <c r="E779" s="77" t="s">
        <v>1622</v>
      </c>
      <c r="F779" s="61" t="s">
        <v>2245</v>
      </c>
      <c r="G779" s="61" t="s">
        <v>520</v>
      </c>
      <c r="H779" s="61" t="s">
        <v>521</v>
      </c>
      <c r="I779" s="75" t="s">
        <v>2420</v>
      </c>
      <c r="J779" s="63"/>
      <c r="K779" s="84">
        <v>0</v>
      </c>
      <c r="L779" s="85">
        <v>0</v>
      </c>
      <c r="M779" s="61" t="s">
        <v>211</v>
      </c>
      <c r="N779" t="s">
        <v>68</v>
      </c>
    </row>
    <row r="780" spans="1:14" x14ac:dyDescent="0.25">
      <c r="A780" t="s">
        <v>69</v>
      </c>
      <c r="B780" s="115">
        <v>15</v>
      </c>
      <c r="C780" s="61" t="s">
        <v>218</v>
      </c>
      <c r="D780" s="62" t="s">
        <v>1973</v>
      </c>
      <c r="E780" s="77" t="s">
        <v>1623</v>
      </c>
      <c r="F780" s="61" t="s">
        <v>2246</v>
      </c>
      <c r="G780" s="61" t="s">
        <v>522</v>
      </c>
      <c r="H780" s="61" t="s">
        <v>523</v>
      </c>
      <c r="I780" s="75" t="s">
        <v>2421</v>
      </c>
      <c r="J780" s="63"/>
      <c r="K780" s="84">
        <v>0</v>
      </c>
      <c r="L780" s="85">
        <v>2</v>
      </c>
      <c r="M780" s="61" t="s">
        <v>100</v>
      </c>
      <c r="N780" t="s">
        <v>68</v>
      </c>
    </row>
    <row r="781" spans="1:14" x14ac:dyDescent="0.25">
      <c r="A781" t="s">
        <v>69</v>
      </c>
      <c r="B781" s="114">
        <v>16</v>
      </c>
      <c r="C781" t="s">
        <v>4008</v>
      </c>
      <c r="D781" s="91" t="s">
        <v>6560</v>
      </c>
      <c r="G781" s="91" t="s">
        <v>4818</v>
      </c>
      <c r="H781" s="91" t="s">
        <v>4819</v>
      </c>
      <c r="L781" s="13">
        <v>1</v>
      </c>
      <c r="M781" t="s">
        <v>92</v>
      </c>
      <c r="N781" t="s">
        <v>68</v>
      </c>
    </row>
    <row r="782" spans="1:14" x14ac:dyDescent="0.25">
      <c r="A782" t="s">
        <v>69</v>
      </c>
      <c r="B782" s="114">
        <v>17</v>
      </c>
      <c r="C782" t="s">
        <v>4009</v>
      </c>
      <c r="D782" s="91" t="s">
        <v>6559</v>
      </c>
      <c r="G782" s="91" t="s">
        <v>4820</v>
      </c>
      <c r="H782" s="91" t="s">
        <v>4821</v>
      </c>
      <c r="L782" s="13">
        <v>0</v>
      </c>
      <c r="M782" t="s">
        <v>266</v>
      </c>
      <c r="N782" t="s">
        <v>68</v>
      </c>
    </row>
    <row r="783" spans="1:14" x14ac:dyDescent="0.25">
      <c r="A783" t="s">
        <v>69</v>
      </c>
      <c r="B783" s="115">
        <v>18</v>
      </c>
      <c r="C783" s="61" t="s">
        <v>219</v>
      </c>
      <c r="D783" s="61" t="s">
        <v>1905</v>
      </c>
      <c r="E783" s="77" t="s">
        <v>1624</v>
      </c>
      <c r="F783" s="62" t="s">
        <v>2242</v>
      </c>
      <c r="G783" s="61" t="s">
        <v>524</v>
      </c>
      <c r="H783" s="61" t="s">
        <v>525</v>
      </c>
      <c r="I783" s="75" t="s">
        <v>2422</v>
      </c>
      <c r="J783" s="63"/>
      <c r="K783" s="84">
        <v>0</v>
      </c>
      <c r="L783" s="85">
        <v>0</v>
      </c>
      <c r="M783" s="61" t="s">
        <v>100</v>
      </c>
      <c r="N783" t="s">
        <v>68</v>
      </c>
    </row>
    <row r="784" spans="1:14" x14ac:dyDescent="0.25">
      <c r="A784" t="s">
        <v>69</v>
      </c>
      <c r="B784" s="114">
        <v>19</v>
      </c>
      <c r="C784" t="s">
        <v>4010</v>
      </c>
      <c r="D784" s="91" t="s">
        <v>6566</v>
      </c>
      <c r="G784" s="91" t="s">
        <v>4822</v>
      </c>
      <c r="H784" s="91" t="s">
        <v>4823</v>
      </c>
      <c r="J784" s="63" t="s">
        <v>3455</v>
      </c>
      <c r="L784" s="13">
        <v>0</v>
      </c>
      <c r="M784" t="s">
        <v>92</v>
      </c>
      <c r="N784" t="s">
        <v>68</v>
      </c>
    </row>
    <row r="785" spans="1:14" x14ac:dyDescent="0.25">
      <c r="A785" t="s">
        <v>69</v>
      </c>
      <c r="B785" s="114">
        <v>20</v>
      </c>
      <c r="C785" t="s">
        <v>4011</v>
      </c>
      <c r="D785" s="91" t="s">
        <v>6563</v>
      </c>
      <c r="G785" s="91" t="s">
        <v>4824</v>
      </c>
      <c r="H785" s="91" t="s">
        <v>4825</v>
      </c>
      <c r="J785" s="63" t="s">
        <v>3456</v>
      </c>
      <c r="L785" s="13">
        <v>0</v>
      </c>
      <c r="M785" t="s">
        <v>92</v>
      </c>
      <c r="N785" t="s">
        <v>68</v>
      </c>
    </row>
    <row r="786" spans="1:14" x14ac:dyDescent="0.25">
      <c r="A786" t="s">
        <v>69</v>
      </c>
      <c r="B786" s="114">
        <v>21</v>
      </c>
      <c r="C786" t="s">
        <v>4012</v>
      </c>
      <c r="D786" s="91" t="s">
        <v>6562</v>
      </c>
      <c r="G786" s="91" t="s">
        <v>4826</v>
      </c>
      <c r="H786" s="91" t="s">
        <v>4827</v>
      </c>
      <c r="J786" s="63" t="s">
        <v>3457</v>
      </c>
      <c r="L786" s="13">
        <v>0</v>
      </c>
      <c r="M786" t="s">
        <v>92</v>
      </c>
      <c r="N786" t="s">
        <v>68</v>
      </c>
    </row>
    <row r="787" spans="1:14" x14ac:dyDescent="0.25">
      <c r="A787" t="s">
        <v>69</v>
      </c>
      <c r="B787" s="114">
        <v>43</v>
      </c>
      <c r="C787" t="s">
        <v>4005</v>
      </c>
      <c r="D787" s="91" t="s">
        <v>6569</v>
      </c>
      <c r="G787" s="91" t="s">
        <v>4812</v>
      </c>
      <c r="H787" s="91" t="s">
        <v>4813</v>
      </c>
      <c r="L787" s="13">
        <v>0</v>
      </c>
      <c r="M787" t="s">
        <v>156</v>
      </c>
      <c r="N787" t="s">
        <v>68</v>
      </c>
    </row>
    <row r="788" spans="1:14" x14ac:dyDescent="0.25">
      <c r="A788" t="s">
        <v>69</v>
      </c>
      <c r="B788" s="115">
        <v>43</v>
      </c>
      <c r="C788" s="61" t="s">
        <v>220</v>
      </c>
      <c r="D788" s="61" t="s">
        <v>6575</v>
      </c>
      <c r="E788" s="77" t="s">
        <v>1625</v>
      </c>
      <c r="F788" s="61" t="s">
        <v>2203</v>
      </c>
      <c r="G788" s="61" t="s">
        <v>526</v>
      </c>
      <c r="H788" s="61" t="s">
        <v>527</v>
      </c>
      <c r="I788" s="75" t="s">
        <v>2170</v>
      </c>
      <c r="J788" s="63" t="s">
        <v>3447</v>
      </c>
      <c r="K788" s="84">
        <v>0</v>
      </c>
      <c r="L788" s="85">
        <v>0</v>
      </c>
      <c r="M788" s="61" t="s">
        <v>92</v>
      </c>
      <c r="N788" t="s">
        <v>68</v>
      </c>
    </row>
    <row r="789" spans="1:14" x14ac:dyDescent="0.25">
      <c r="A789" t="s">
        <v>69</v>
      </c>
      <c r="B789" s="114">
        <v>44</v>
      </c>
      <c r="C789" t="s">
        <v>4013</v>
      </c>
      <c r="D789" s="91" t="s">
        <v>6571</v>
      </c>
      <c r="G789" s="91" t="s">
        <v>4828</v>
      </c>
      <c r="H789" s="91" t="s">
        <v>4829</v>
      </c>
      <c r="L789" s="13">
        <v>0</v>
      </c>
      <c r="M789" t="s">
        <v>100</v>
      </c>
      <c r="N789" t="s">
        <v>68</v>
      </c>
    </row>
    <row r="790" spans="1:14" x14ac:dyDescent="0.25">
      <c r="A790" t="s">
        <v>69</v>
      </c>
      <c r="B790" s="114">
        <v>45</v>
      </c>
      <c r="C790" t="s">
        <v>4015</v>
      </c>
      <c r="D790" s="91" t="s">
        <v>6577</v>
      </c>
      <c r="G790" s="91" t="s">
        <v>4832</v>
      </c>
      <c r="H790" s="91" t="s">
        <v>4833</v>
      </c>
      <c r="L790" s="13">
        <v>0</v>
      </c>
      <c r="M790" t="s">
        <v>100</v>
      </c>
      <c r="N790" t="s">
        <v>68</v>
      </c>
    </row>
    <row r="791" spans="1:14" x14ac:dyDescent="0.25">
      <c r="A791" t="s">
        <v>69</v>
      </c>
      <c r="B791" s="114">
        <v>45</v>
      </c>
      <c r="C791" t="s">
        <v>4014</v>
      </c>
      <c r="D791" s="91" t="s">
        <v>6576</v>
      </c>
      <c r="G791" s="91" t="s">
        <v>4830</v>
      </c>
      <c r="H791" s="91" t="s">
        <v>4831</v>
      </c>
      <c r="L791" s="13">
        <v>0</v>
      </c>
      <c r="M791" t="s">
        <v>100</v>
      </c>
      <c r="N791" t="s">
        <v>68</v>
      </c>
    </row>
    <row r="792" spans="1:14" x14ac:dyDescent="0.25">
      <c r="A792" t="s">
        <v>69</v>
      </c>
      <c r="B792" s="114">
        <v>46</v>
      </c>
      <c r="C792" t="s">
        <v>4016</v>
      </c>
      <c r="D792" s="91" t="s">
        <v>4835</v>
      </c>
      <c r="G792" s="91" t="s">
        <v>4834</v>
      </c>
      <c r="H792" s="91" t="s">
        <v>4835</v>
      </c>
      <c r="L792" s="13">
        <v>0</v>
      </c>
      <c r="M792" t="s">
        <v>100</v>
      </c>
      <c r="N792" t="s">
        <v>68</v>
      </c>
    </row>
    <row r="793" spans="1:14" x14ac:dyDescent="0.25">
      <c r="A793" t="s">
        <v>69</v>
      </c>
      <c r="B793" s="114">
        <v>46</v>
      </c>
      <c r="C793" t="s">
        <v>4006</v>
      </c>
      <c r="D793" s="91" t="s">
        <v>6578</v>
      </c>
      <c r="G793" s="91" t="s">
        <v>4814</v>
      </c>
      <c r="H793" s="91" t="s">
        <v>4815</v>
      </c>
      <c r="L793" s="13">
        <v>0</v>
      </c>
      <c r="M793" t="s">
        <v>165</v>
      </c>
      <c r="N793" t="s">
        <v>68</v>
      </c>
    </row>
    <row r="794" spans="1:14" x14ac:dyDescent="0.25">
      <c r="A794" t="s">
        <v>69</v>
      </c>
      <c r="B794" s="114">
        <v>46</v>
      </c>
      <c r="C794" t="s">
        <v>4007</v>
      </c>
      <c r="D794" s="91" t="s">
        <v>6579</v>
      </c>
      <c r="G794" s="91" t="s">
        <v>4816</v>
      </c>
      <c r="H794" s="91" t="s">
        <v>4817</v>
      </c>
      <c r="L794" s="13">
        <v>0</v>
      </c>
      <c r="M794" t="s">
        <v>165</v>
      </c>
      <c r="N794" t="s">
        <v>68</v>
      </c>
    </row>
    <row r="795" spans="1:14" x14ac:dyDescent="0.25">
      <c r="A795" t="s">
        <v>69</v>
      </c>
      <c r="B795" s="114">
        <v>47</v>
      </c>
      <c r="C795" t="s">
        <v>4017</v>
      </c>
      <c r="D795" s="91" t="s">
        <v>4837</v>
      </c>
      <c r="G795" s="91" t="s">
        <v>4836</v>
      </c>
      <c r="H795" s="91" t="s">
        <v>4837</v>
      </c>
      <c r="L795" s="13">
        <v>0</v>
      </c>
      <c r="M795" t="s">
        <v>100</v>
      </c>
      <c r="N795" t="s">
        <v>68</v>
      </c>
    </row>
    <row r="796" spans="1:14" x14ac:dyDescent="0.25">
      <c r="A796" s="143" t="s">
        <v>3984</v>
      </c>
      <c r="B796" s="114">
        <v>1</v>
      </c>
      <c r="C796" t="s">
        <v>3995</v>
      </c>
      <c r="G796" s="91" t="s">
        <v>4794</v>
      </c>
      <c r="H796" s="91" t="s">
        <v>292</v>
      </c>
      <c r="L796" s="13" t="s">
        <v>605</v>
      </c>
      <c r="N796" t="s">
        <v>68</v>
      </c>
    </row>
    <row r="797" spans="1:14" x14ac:dyDescent="0.25">
      <c r="A797" s="143" t="s">
        <v>3984</v>
      </c>
      <c r="B797" s="114">
        <v>1</v>
      </c>
      <c r="C797" t="s">
        <v>106</v>
      </c>
      <c r="G797" s="91" t="s">
        <v>301</v>
      </c>
      <c r="H797" s="91" t="s">
        <v>292</v>
      </c>
      <c r="L797" s="13" t="s">
        <v>605</v>
      </c>
      <c r="N797" t="s">
        <v>68</v>
      </c>
    </row>
    <row r="798" spans="1:14" x14ac:dyDescent="0.25">
      <c r="A798" s="143" t="s">
        <v>3984</v>
      </c>
      <c r="B798" s="114">
        <v>1</v>
      </c>
      <c r="C798" t="s">
        <v>3993</v>
      </c>
      <c r="G798" s="91" t="s">
        <v>291</v>
      </c>
      <c r="H798" s="91" t="s">
        <v>292</v>
      </c>
      <c r="L798" s="13" t="s">
        <v>605</v>
      </c>
      <c r="N798" t="s">
        <v>68</v>
      </c>
    </row>
    <row r="799" spans="1:14" x14ac:dyDescent="0.25">
      <c r="A799" s="143" t="s">
        <v>3984</v>
      </c>
      <c r="B799" s="114">
        <v>1</v>
      </c>
      <c r="C799" t="s">
        <v>3991</v>
      </c>
      <c r="D799" s="91"/>
      <c r="G799" s="92" t="s">
        <v>4783</v>
      </c>
      <c r="H799" s="92" t="s">
        <v>4784</v>
      </c>
      <c r="L799" s="13">
        <v>0</v>
      </c>
      <c r="M799" t="s">
        <v>91</v>
      </c>
      <c r="N799" t="s">
        <v>68</v>
      </c>
    </row>
    <row r="800" spans="1:14" x14ac:dyDescent="0.25">
      <c r="A800" s="143" t="s">
        <v>3984</v>
      </c>
      <c r="B800" s="114">
        <v>1</v>
      </c>
      <c r="C800" t="s">
        <v>3992</v>
      </c>
      <c r="D800" s="91"/>
      <c r="G800" s="92" t="s">
        <v>4785</v>
      </c>
      <c r="H800" s="92" t="s">
        <v>4786</v>
      </c>
      <c r="L800" s="13">
        <v>0</v>
      </c>
      <c r="M800" t="s">
        <v>91</v>
      </c>
      <c r="N800" t="s">
        <v>68</v>
      </c>
    </row>
    <row r="801" spans="1:14" x14ac:dyDescent="0.25">
      <c r="A801" s="143" t="s">
        <v>3984</v>
      </c>
      <c r="B801" s="114">
        <v>1</v>
      </c>
      <c r="C801" t="s">
        <v>3985</v>
      </c>
      <c r="D801" s="91"/>
      <c r="G801" s="91" t="s">
        <v>3598</v>
      </c>
      <c r="H801" s="91" t="s">
        <v>4773</v>
      </c>
      <c r="L801" s="13">
        <v>0</v>
      </c>
      <c r="M801" t="s">
        <v>91</v>
      </c>
      <c r="N801" t="s">
        <v>68</v>
      </c>
    </row>
    <row r="802" spans="1:14" x14ac:dyDescent="0.25">
      <c r="A802" s="143" t="s">
        <v>3984</v>
      </c>
      <c r="B802" s="114">
        <v>2</v>
      </c>
      <c r="C802" t="s">
        <v>3996</v>
      </c>
      <c r="D802" s="91"/>
      <c r="G802" s="91" t="s">
        <v>4795</v>
      </c>
      <c r="H802" s="91" t="s">
        <v>310</v>
      </c>
      <c r="L802" s="13">
        <v>0</v>
      </c>
      <c r="M802" t="s">
        <v>91</v>
      </c>
      <c r="N802" t="s">
        <v>68</v>
      </c>
    </row>
    <row r="803" spans="1:14" x14ac:dyDescent="0.25">
      <c r="A803" s="143" t="s">
        <v>3984</v>
      </c>
      <c r="B803" s="114">
        <v>2</v>
      </c>
      <c r="C803" t="s">
        <v>107</v>
      </c>
      <c r="D803" s="91"/>
      <c r="G803" s="91" t="s">
        <v>4792</v>
      </c>
      <c r="H803" s="91" t="s">
        <v>4793</v>
      </c>
      <c r="L803" s="13">
        <v>0</v>
      </c>
      <c r="M803" t="s">
        <v>91</v>
      </c>
      <c r="N803" t="s">
        <v>68</v>
      </c>
    </row>
    <row r="804" spans="1:14" x14ac:dyDescent="0.25">
      <c r="A804" s="143" t="s">
        <v>3984</v>
      </c>
      <c r="B804" s="114">
        <v>2</v>
      </c>
      <c r="C804" t="s">
        <v>102</v>
      </c>
      <c r="D804" s="91"/>
      <c r="G804" s="91" t="s">
        <v>293</v>
      </c>
      <c r="H804" s="91" t="s">
        <v>294</v>
      </c>
      <c r="L804" s="13">
        <v>0</v>
      </c>
      <c r="M804" t="s">
        <v>91</v>
      </c>
      <c r="N804" t="s">
        <v>68</v>
      </c>
    </row>
    <row r="805" spans="1:14" x14ac:dyDescent="0.25">
      <c r="A805" s="143" t="s">
        <v>3984</v>
      </c>
      <c r="B805" s="114">
        <v>2</v>
      </c>
      <c r="C805" t="s">
        <v>3986</v>
      </c>
      <c r="D805" s="91"/>
      <c r="G805" s="91" t="s">
        <v>4774</v>
      </c>
      <c r="H805" s="92" t="s">
        <v>4775</v>
      </c>
      <c r="L805" s="13">
        <v>0</v>
      </c>
      <c r="M805" t="s">
        <v>91</v>
      </c>
      <c r="N805" t="s">
        <v>68</v>
      </c>
    </row>
    <row r="806" spans="1:14" x14ac:dyDescent="0.25">
      <c r="A806" s="143" t="s">
        <v>3984</v>
      </c>
      <c r="B806" s="114">
        <v>3</v>
      </c>
      <c r="C806" t="s">
        <v>3997</v>
      </c>
      <c r="D806" s="91"/>
      <c r="G806" s="91" t="s">
        <v>4796</v>
      </c>
      <c r="H806" s="91" t="s">
        <v>3982</v>
      </c>
      <c r="L806" s="13">
        <v>0</v>
      </c>
      <c r="M806" t="s">
        <v>91</v>
      </c>
      <c r="N806" t="s">
        <v>68</v>
      </c>
    </row>
    <row r="807" spans="1:14" x14ac:dyDescent="0.25">
      <c r="A807" s="143" t="s">
        <v>3984</v>
      </c>
      <c r="B807" s="114">
        <v>3</v>
      </c>
      <c r="C807" t="s">
        <v>3824</v>
      </c>
      <c r="D807" s="91"/>
      <c r="G807" s="91" t="s">
        <v>4776</v>
      </c>
      <c r="H807" s="91" t="s">
        <v>4777</v>
      </c>
      <c r="L807" s="13">
        <v>0</v>
      </c>
      <c r="M807" t="s">
        <v>91</v>
      </c>
      <c r="N807" t="s">
        <v>68</v>
      </c>
    </row>
    <row r="808" spans="1:14" x14ac:dyDescent="0.25">
      <c r="A808" s="143" t="s">
        <v>3984</v>
      </c>
      <c r="B808" s="114">
        <v>3</v>
      </c>
      <c r="C808" t="s">
        <v>108</v>
      </c>
      <c r="D808" s="91"/>
      <c r="G808" s="91" t="s">
        <v>304</v>
      </c>
      <c r="H808" s="91" t="s">
        <v>305</v>
      </c>
      <c r="L808" s="13">
        <v>0</v>
      </c>
      <c r="M808" t="s">
        <v>92</v>
      </c>
      <c r="N808" t="s">
        <v>68</v>
      </c>
    </row>
    <row r="809" spans="1:14" x14ac:dyDescent="0.25">
      <c r="A809" s="143" t="s">
        <v>3984</v>
      </c>
      <c r="B809" s="114">
        <v>3</v>
      </c>
      <c r="C809" t="s">
        <v>103</v>
      </c>
      <c r="D809" s="91"/>
      <c r="G809" s="91" t="s">
        <v>295</v>
      </c>
      <c r="H809" s="91" t="s">
        <v>296</v>
      </c>
      <c r="L809" s="13">
        <v>0</v>
      </c>
      <c r="M809" t="s">
        <v>91</v>
      </c>
      <c r="N809" t="s">
        <v>68</v>
      </c>
    </row>
    <row r="810" spans="1:14" x14ac:dyDescent="0.25">
      <c r="A810" s="143" t="s">
        <v>3984</v>
      </c>
      <c r="B810" s="114">
        <v>4</v>
      </c>
      <c r="C810" t="s">
        <v>3987</v>
      </c>
      <c r="D810" s="91"/>
      <c r="G810" s="91" t="s">
        <v>4778</v>
      </c>
      <c r="H810" s="91" t="s">
        <v>3909</v>
      </c>
      <c r="L810" s="13">
        <v>0</v>
      </c>
      <c r="M810" t="s">
        <v>91</v>
      </c>
      <c r="N810" t="s">
        <v>68</v>
      </c>
    </row>
    <row r="811" spans="1:14" x14ac:dyDescent="0.25">
      <c r="A811" s="143" t="s">
        <v>3984</v>
      </c>
      <c r="B811" s="114">
        <v>4</v>
      </c>
      <c r="C811" t="s">
        <v>109</v>
      </c>
      <c r="D811" s="91"/>
      <c r="G811" s="91" t="s">
        <v>306</v>
      </c>
      <c r="H811" s="91" t="s">
        <v>307</v>
      </c>
      <c r="L811" s="13">
        <v>0</v>
      </c>
      <c r="M811" t="s">
        <v>92</v>
      </c>
      <c r="N811" t="s">
        <v>68</v>
      </c>
    </row>
    <row r="812" spans="1:14" x14ac:dyDescent="0.25">
      <c r="A812" s="143" t="s">
        <v>3984</v>
      </c>
      <c r="B812" s="114">
        <v>4</v>
      </c>
      <c r="C812" t="s">
        <v>3844</v>
      </c>
      <c r="D812" s="91"/>
      <c r="G812" s="91" t="s">
        <v>4788</v>
      </c>
      <c r="H812" s="91" t="s">
        <v>3942</v>
      </c>
      <c r="L812" s="13">
        <v>0</v>
      </c>
      <c r="N812" t="s">
        <v>68</v>
      </c>
    </row>
    <row r="813" spans="1:14" x14ac:dyDescent="0.25">
      <c r="A813" s="143" t="s">
        <v>3984</v>
      </c>
      <c r="B813" s="114">
        <v>4</v>
      </c>
      <c r="C813" t="s">
        <v>104</v>
      </c>
      <c r="D813" s="91"/>
      <c r="G813" s="91" t="s">
        <v>297</v>
      </c>
      <c r="H813" s="91" t="s">
        <v>298</v>
      </c>
      <c r="L813" s="13">
        <v>0</v>
      </c>
      <c r="M813" t="s">
        <v>91</v>
      </c>
      <c r="N813" t="s">
        <v>68</v>
      </c>
    </row>
    <row r="814" spans="1:14" x14ac:dyDescent="0.25">
      <c r="A814" s="143" t="s">
        <v>3984</v>
      </c>
      <c r="B814" s="114">
        <v>5</v>
      </c>
      <c r="C814" t="s">
        <v>105</v>
      </c>
      <c r="D814" s="91"/>
      <c r="G814" s="91" t="s">
        <v>299</v>
      </c>
      <c r="H814" s="91" t="s">
        <v>4787</v>
      </c>
      <c r="L814" s="13">
        <v>0</v>
      </c>
      <c r="M814" t="s">
        <v>92</v>
      </c>
      <c r="N814" t="s">
        <v>68</v>
      </c>
    </row>
    <row r="815" spans="1:14" x14ac:dyDescent="0.25">
      <c r="A815" s="143" t="s">
        <v>3984</v>
      </c>
      <c r="B815" s="114">
        <v>5</v>
      </c>
      <c r="C815" t="s">
        <v>3988</v>
      </c>
      <c r="D815" s="91"/>
      <c r="G815" s="91" t="s">
        <v>4779</v>
      </c>
      <c r="H815" s="91" t="s">
        <v>3911</v>
      </c>
      <c r="L815" s="13">
        <v>0</v>
      </c>
      <c r="M815" t="s">
        <v>153</v>
      </c>
      <c r="N815" t="s">
        <v>68</v>
      </c>
    </row>
    <row r="816" spans="1:14" x14ac:dyDescent="0.25">
      <c r="A816" s="143" t="s">
        <v>3984</v>
      </c>
      <c r="B816" s="114">
        <v>6</v>
      </c>
      <c r="C816" t="s">
        <v>3994</v>
      </c>
      <c r="D816" s="91"/>
      <c r="G816" s="91" t="s">
        <v>4789</v>
      </c>
      <c r="H816" s="91" t="s">
        <v>4790</v>
      </c>
      <c r="L816" s="13">
        <v>0</v>
      </c>
      <c r="N816" t="s">
        <v>68</v>
      </c>
    </row>
    <row r="817" spans="1:14" x14ac:dyDescent="0.25">
      <c r="A817" s="143" t="s">
        <v>3984</v>
      </c>
      <c r="B817" s="114">
        <v>6</v>
      </c>
      <c r="C817" t="s">
        <v>3989</v>
      </c>
      <c r="D817" s="91"/>
      <c r="G817" s="91" t="s">
        <v>4780</v>
      </c>
      <c r="H817" s="91" t="s">
        <v>4781</v>
      </c>
      <c r="L817" s="13">
        <v>0</v>
      </c>
      <c r="M817" t="s">
        <v>153</v>
      </c>
      <c r="N817" t="s">
        <v>68</v>
      </c>
    </row>
    <row r="818" spans="1:14" x14ac:dyDescent="0.25">
      <c r="A818" s="143" t="s">
        <v>3984</v>
      </c>
      <c r="B818" s="114">
        <v>7</v>
      </c>
      <c r="C818" t="s">
        <v>3846</v>
      </c>
      <c r="D818" s="91"/>
      <c r="G818" s="91" t="s">
        <v>4791</v>
      </c>
      <c r="H818" s="91" t="s">
        <v>3947</v>
      </c>
      <c r="L818" s="13">
        <v>0</v>
      </c>
      <c r="M818" t="s">
        <v>91</v>
      </c>
      <c r="N818" t="s">
        <v>68</v>
      </c>
    </row>
    <row r="819" spans="1:14" x14ac:dyDescent="0.25">
      <c r="A819" s="143" t="s">
        <v>3984</v>
      </c>
      <c r="B819" s="114">
        <v>7</v>
      </c>
      <c r="C819" t="s">
        <v>3990</v>
      </c>
      <c r="D819" s="91"/>
      <c r="G819" s="91" t="s">
        <v>4782</v>
      </c>
      <c r="H819" s="92" t="s">
        <v>3915</v>
      </c>
      <c r="L819" s="13">
        <v>0</v>
      </c>
      <c r="M819" t="s">
        <v>91</v>
      </c>
      <c r="N819" t="s">
        <v>68</v>
      </c>
    </row>
    <row r="820" spans="1:14" x14ac:dyDescent="0.25">
      <c r="A820" s="143" t="s">
        <v>3855</v>
      </c>
      <c r="B820" s="114">
        <v>1</v>
      </c>
      <c r="C820" t="s">
        <v>3865</v>
      </c>
      <c r="D820" s="91"/>
      <c r="G820" t="s">
        <v>3865</v>
      </c>
      <c r="H820" t="s">
        <v>3939</v>
      </c>
      <c r="L820" s="13">
        <v>0</v>
      </c>
      <c r="M820" t="s">
        <v>91</v>
      </c>
      <c r="N820" t="s">
        <v>45</v>
      </c>
    </row>
    <row r="821" spans="1:14" x14ac:dyDescent="0.25">
      <c r="A821" s="143" t="s">
        <v>3855</v>
      </c>
      <c r="B821" s="114">
        <v>1</v>
      </c>
      <c r="C821" t="s">
        <v>3856</v>
      </c>
      <c r="D821" s="91"/>
      <c r="G821" t="s">
        <v>3962</v>
      </c>
      <c r="H821" t="s">
        <v>3963</v>
      </c>
      <c r="L821" s="13" t="s">
        <v>605</v>
      </c>
      <c r="M821" t="s">
        <v>91</v>
      </c>
      <c r="N821" t="s">
        <v>45</v>
      </c>
    </row>
    <row r="822" spans="1:14" x14ac:dyDescent="0.25">
      <c r="A822" s="143" t="s">
        <v>3855</v>
      </c>
      <c r="B822" s="114">
        <v>1</v>
      </c>
      <c r="C822" t="s">
        <v>3866</v>
      </c>
      <c r="D822" s="91"/>
      <c r="G822" t="s">
        <v>3866</v>
      </c>
      <c r="H822" t="s">
        <v>3940</v>
      </c>
      <c r="L822" s="13">
        <v>0</v>
      </c>
      <c r="M822" t="s">
        <v>91</v>
      </c>
      <c r="N822" t="s">
        <v>45</v>
      </c>
    </row>
    <row r="823" spans="1:14" x14ac:dyDescent="0.25">
      <c r="A823" s="143" t="s">
        <v>3855</v>
      </c>
      <c r="B823" s="114">
        <v>1</v>
      </c>
      <c r="C823" t="s">
        <v>3857</v>
      </c>
      <c r="D823" s="91"/>
      <c r="G823" t="s">
        <v>3964</v>
      </c>
      <c r="H823" t="s">
        <v>3965</v>
      </c>
      <c r="L823" s="13">
        <v>0</v>
      </c>
      <c r="M823" t="s">
        <v>91</v>
      </c>
      <c r="N823" t="s">
        <v>45</v>
      </c>
    </row>
    <row r="824" spans="1:14" x14ac:dyDescent="0.25">
      <c r="A824" s="143" t="s">
        <v>3855</v>
      </c>
      <c r="B824" s="114">
        <v>2</v>
      </c>
      <c r="C824" t="s">
        <v>3873</v>
      </c>
      <c r="D824" s="91"/>
      <c r="G824" t="s">
        <v>3980</v>
      </c>
      <c r="H824" t="s">
        <v>310</v>
      </c>
      <c r="L824" s="13">
        <v>0</v>
      </c>
      <c r="M824" t="s">
        <v>91</v>
      </c>
      <c r="N824" t="s">
        <v>45</v>
      </c>
    </row>
    <row r="825" spans="1:14" x14ac:dyDescent="0.25">
      <c r="A825" s="143" t="s">
        <v>3855</v>
      </c>
      <c r="B825" s="114">
        <v>2</v>
      </c>
      <c r="C825" t="s">
        <v>3872</v>
      </c>
      <c r="D825" s="91"/>
      <c r="G825" t="s">
        <v>3979</v>
      </c>
      <c r="H825" t="s">
        <v>303</v>
      </c>
      <c r="L825" s="13">
        <v>1</v>
      </c>
      <c r="M825" t="s">
        <v>91</v>
      </c>
      <c r="N825" t="s">
        <v>45</v>
      </c>
    </row>
    <row r="826" spans="1:14" x14ac:dyDescent="0.25">
      <c r="A826" s="143" t="s">
        <v>3855</v>
      </c>
      <c r="B826" s="114">
        <v>3</v>
      </c>
      <c r="C826" t="s">
        <v>3874</v>
      </c>
      <c r="D826" s="91"/>
      <c r="G826" t="s">
        <v>3981</v>
      </c>
      <c r="H826" t="s">
        <v>3982</v>
      </c>
      <c r="L826" s="13">
        <v>0</v>
      </c>
      <c r="M826" t="s">
        <v>91</v>
      </c>
      <c r="N826" t="s">
        <v>45</v>
      </c>
    </row>
    <row r="827" spans="1:14" x14ac:dyDescent="0.25">
      <c r="A827" s="143" t="s">
        <v>3855</v>
      </c>
      <c r="B827" s="114">
        <v>3</v>
      </c>
      <c r="C827" t="s">
        <v>3863</v>
      </c>
      <c r="D827" s="91"/>
      <c r="G827" t="s">
        <v>3863</v>
      </c>
      <c r="H827" t="s">
        <v>3971</v>
      </c>
      <c r="L827" s="13">
        <v>0</v>
      </c>
      <c r="M827" t="s">
        <v>91</v>
      </c>
      <c r="N827" t="s">
        <v>45</v>
      </c>
    </row>
    <row r="828" spans="1:14" x14ac:dyDescent="0.25">
      <c r="A828" s="143" t="s">
        <v>3855</v>
      </c>
      <c r="B828" s="114">
        <v>3</v>
      </c>
      <c r="C828" t="s">
        <v>3867</v>
      </c>
      <c r="D828" s="91"/>
      <c r="G828" t="s">
        <v>3973</v>
      </c>
      <c r="H828" t="s">
        <v>3974</v>
      </c>
      <c r="L828" s="13">
        <v>0</v>
      </c>
      <c r="M828" t="s">
        <v>91</v>
      </c>
      <c r="N828" t="s">
        <v>45</v>
      </c>
    </row>
    <row r="829" spans="1:14" x14ac:dyDescent="0.25">
      <c r="A829" s="143" t="s">
        <v>3855</v>
      </c>
      <c r="B829" s="114">
        <v>4</v>
      </c>
      <c r="C829" t="s">
        <v>3864</v>
      </c>
      <c r="D829" s="91"/>
      <c r="G829" t="s">
        <v>3972</v>
      </c>
      <c r="H829" t="s">
        <v>3923</v>
      </c>
      <c r="L829" s="13">
        <v>0</v>
      </c>
      <c r="M829" t="s">
        <v>92</v>
      </c>
      <c r="N829" t="s">
        <v>45</v>
      </c>
    </row>
    <row r="830" spans="1:14" x14ac:dyDescent="0.25">
      <c r="A830" s="143" t="s">
        <v>3855</v>
      </c>
      <c r="B830" s="114">
        <v>4</v>
      </c>
      <c r="C830" t="s">
        <v>3868</v>
      </c>
      <c r="D830" s="91"/>
      <c r="G830" t="s">
        <v>3975</v>
      </c>
      <c r="H830" t="s">
        <v>3942</v>
      </c>
      <c r="L830" s="13">
        <v>0</v>
      </c>
      <c r="M830" t="s">
        <v>91</v>
      </c>
      <c r="N830" t="s">
        <v>45</v>
      </c>
    </row>
    <row r="831" spans="1:14" x14ac:dyDescent="0.25">
      <c r="A831" s="143" t="s">
        <v>3855</v>
      </c>
      <c r="B831" s="114">
        <v>5</v>
      </c>
      <c r="C831" t="s">
        <v>3858</v>
      </c>
      <c r="D831" s="91"/>
      <c r="G831" t="s">
        <v>3966</v>
      </c>
      <c r="H831" t="s">
        <v>3876</v>
      </c>
      <c r="L831" s="13">
        <v>0</v>
      </c>
      <c r="M831" t="s">
        <v>91</v>
      </c>
      <c r="N831" t="s">
        <v>45</v>
      </c>
    </row>
    <row r="832" spans="1:14" x14ac:dyDescent="0.25">
      <c r="A832" s="143" t="s">
        <v>3855</v>
      </c>
      <c r="B832" s="114">
        <v>6</v>
      </c>
      <c r="C832" t="s">
        <v>3859</v>
      </c>
      <c r="D832" s="91"/>
      <c r="G832" t="s">
        <v>3967</v>
      </c>
      <c r="H832" t="s">
        <v>3880</v>
      </c>
      <c r="L832" s="13">
        <v>0</v>
      </c>
      <c r="M832" t="s">
        <v>91</v>
      </c>
      <c r="N832" t="s">
        <v>45</v>
      </c>
    </row>
    <row r="833" spans="1:15" x14ac:dyDescent="0.25">
      <c r="A833" s="143" t="s">
        <v>3855</v>
      </c>
      <c r="B833" s="114">
        <v>7</v>
      </c>
      <c r="C833" t="s">
        <v>3870</v>
      </c>
      <c r="D833" s="91"/>
      <c r="G833" t="s">
        <v>3977</v>
      </c>
      <c r="H833" t="s">
        <v>3947</v>
      </c>
      <c r="L833" s="13">
        <v>0</v>
      </c>
      <c r="M833" t="s">
        <v>91</v>
      </c>
      <c r="N833" t="s">
        <v>45</v>
      </c>
    </row>
    <row r="834" spans="1:15" x14ac:dyDescent="0.25">
      <c r="A834" s="143" t="s">
        <v>3855</v>
      </c>
      <c r="B834" s="114">
        <v>7</v>
      </c>
      <c r="C834" t="s">
        <v>3860</v>
      </c>
      <c r="D834" s="91"/>
      <c r="G834" t="s">
        <v>3968</v>
      </c>
      <c r="H834" t="s">
        <v>3882</v>
      </c>
      <c r="L834" s="13">
        <v>0</v>
      </c>
      <c r="M834" t="s">
        <v>91</v>
      </c>
      <c r="N834" t="s">
        <v>45</v>
      </c>
    </row>
    <row r="835" spans="1:15" x14ac:dyDescent="0.25">
      <c r="A835" s="143" t="s">
        <v>3855</v>
      </c>
      <c r="B835" s="114">
        <v>7</v>
      </c>
      <c r="C835" t="s">
        <v>3871</v>
      </c>
      <c r="D835" s="91"/>
      <c r="G835" t="s">
        <v>3871</v>
      </c>
      <c r="H835" t="s">
        <v>3978</v>
      </c>
      <c r="L835" s="13">
        <v>0</v>
      </c>
      <c r="M835" t="s">
        <v>91</v>
      </c>
      <c r="N835" t="s">
        <v>45</v>
      </c>
    </row>
    <row r="836" spans="1:15" x14ac:dyDescent="0.25">
      <c r="A836" s="143" t="s">
        <v>3855</v>
      </c>
      <c r="B836" s="114">
        <v>7</v>
      </c>
      <c r="C836" t="s">
        <v>3869</v>
      </c>
      <c r="D836" s="91"/>
      <c r="G836" t="s">
        <v>3976</v>
      </c>
      <c r="H836" t="s">
        <v>3945</v>
      </c>
      <c r="L836" s="13">
        <v>1</v>
      </c>
      <c r="M836" t="s">
        <v>91</v>
      </c>
      <c r="N836" t="s">
        <v>45</v>
      </c>
    </row>
    <row r="837" spans="1:15" x14ac:dyDescent="0.25">
      <c r="A837" s="143" t="s">
        <v>3855</v>
      </c>
      <c r="B837" s="114">
        <v>9</v>
      </c>
      <c r="C837" t="s">
        <v>3861</v>
      </c>
      <c r="D837" s="91"/>
      <c r="G837" t="s">
        <v>3969</v>
      </c>
      <c r="H837" t="s">
        <v>286</v>
      </c>
      <c r="L837" s="13">
        <v>0</v>
      </c>
      <c r="M837" t="s">
        <v>92</v>
      </c>
      <c r="N837" t="s">
        <v>45</v>
      </c>
    </row>
    <row r="838" spans="1:15" x14ac:dyDescent="0.25">
      <c r="A838" s="143" t="s">
        <v>3855</v>
      </c>
      <c r="B838" s="114">
        <v>21</v>
      </c>
      <c r="C838" t="s">
        <v>3862</v>
      </c>
      <c r="D838" s="91"/>
      <c r="G838" t="s">
        <v>3970</v>
      </c>
      <c r="H838" t="s">
        <v>3906</v>
      </c>
      <c r="L838" s="13">
        <v>0</v>
      </c>
      <c r="M838" t="s">
        <v>91</v>
      </c>
      <c r="N838" t="s">
        <v>45</v>
      </c>
    </row>
    <row r="839" spans="1:15" x14ac:dyDescent="0.25">
      <c r="A839" s="144" t="s">
        <v>448</v>
      </c>
      <c r="B839" s="141">
        <v>-99</v>
      </c>
      <c r="C839" s="91" t="s">
        <v>292</v>
      </c>
      <c r="E839" s="91"/>
      <c r="G839" s="91" t="s">
        <v>292</v>
      </c>
      <c r="H839" s="91" t="s">
        <v>292</v>
      </c>
      <c r="J839" s="91"/>
      <c r="K839" s="136"/>
      <c r="L839" s="136"/>
      <c r="M839" s="92"/>
      <c r="N839" s="138" t="s">
        <v>54</v>
      </c>
      <c r="O839" s="92"/>
    </row>
    <row r="840" spans="1:15" x14ac:dyDescent="0.25">
      <c r="A840" s="123" t="s">
        <v>448</v>
      </c>
      <c r="B840" s="124">
        <v>0</v>
      </c>
      <c r="C840" s="125" t="s">
        <v>93</v>
      </c>
      <c r="D840" s="127" t="s">
        <v>1927</v>
      </c>
      <c r="E840" s="126" t="s">
        <v>2139</v>
      </c>
      <c r="F840" s="125" t="s">
        <v>2187</v>
      </c>
      <c r="G840" s="125" t="s">
        <v>277</v>
      </c>
      <c r="H840" s="125" t="s">
        <v>278</v>
      </c>
      <c r="I840" s="125" t="s">
        <v>2320</v>
      </c>
      <c r="J840" s="127"/>
      <c r="K840" s="124">
        <v>1</v>
      </c>
      <c r="L840" s="124" t="s">
        <v>605</v>
      </c>
      <c r="M840" s="125" t="s">
        <v>91</v>
      </c>
      <c r="N840" s="123" t="s">
        <v>54</v>
      </c>
      <c r="O840" s="123"/>
    </row>
    <row r="841" spans="1:15" x14ac:dyDescent="0.25">
      <c r="A841" t="s">
        <v>448</v>
      </c>
      <c r="B841" s="116">
        <v>1</v>
      </c>
      <c r="C841" s="61" t="s">
        <v>127</v>
      </c>
      <c r="D841" s="63" t="s">
        <v>1926</v>
      </c>
      <c r="E841" s="61"/>
      <c r="F841" s="61" t="s">
        <v>2155</v>
      </c>
      <c r="G841" s="61" t="s">
        <v>340</v>
      </c>
      <c r="H841" s="61" t="s">
        <v>341</v>
      </c>
      <c r="I841" s="75" t="s">
        <v>2345</v>
      </c>
      <c r="J841" s="63"/>
      <c r="K841" s="85">
        <v>1</v>
      </c>
      <c r="L841" s="84" t="s">
        <v>605</v>
      </c>
      <c r="M841" s="61" t="s">
        <v>100</v>
      </c>
      <c r="N841" t="s">
        <v>54</v>
      </c>
    </row>
    <row r="842" spans="1:15" x14ac:dyDescent="0.25">
      <c r="A842" t="s">
        <v>448</v>
      </c>
      <c r="B842" s="116">
        <v>2</v>
      </c>
      <c r="C842" s="104" t="s">
        <v>1980</v>
      </c>
      <c r="D842" s="63" t="s">
        <v>6453</v>
      </c>
      <c r="E842" s="61"/>
      <c r="F842" s="61" t="s">
        <v>2183</v>
      </c>
      <c r="G842" s="61" t="s">
        <v>2075</v>
      </c>
      <c r="H842" s="61" t="s">
        <v>2078</v>
      </c>
      <c r="I842" s="75" t="s">
        <v>2451</v>
      </c>
      <c r="J842" s="63"/>
      <c r="K842" s="85">
        <v>0</v>
      </c>
      <c r="L842" s="85" t="s">
        <v>605</v>
      </c>
      <c r="M842" s="61" t="s">
        <v>91</v>
      </c>
      <c r="N842" t="s">
        <v>54</v>
      </c>
    </row>
    <row r="843" spans="1:15" x14ac:dyDescent="0.25">
      <c r="A843" t="s">
        <v>448</v>
      </c>
      <c r="B843" s="116">
        <v>3</v>
      </c>
      <c r="C843" s="61" t="s">
        <v>1986</v>
      </c>
      <c r="D843" s="64" t="s">
        <v>2061</v>
      </c>
      <c r="E843" s="61"/>
      <c r="F843" s="61" t="s">
        <v>2267</v>
      </c>
      <c r="G843" s="61" t="s">
        <v>2077</v>
      </c>
      <c r="H843" s="61" t="s">
        <v>1985</v>
      </c>
      <c r="I843" s="75" t="s">
        <v>2450</v>
      </c>
      <c r="J843" s="63"/>
      <c r="K843" s="85">
        <v>0</v>
      </c>
      <c r="L843" s="85">
        <v>0</v>
      </c>
      <c r="M843" s="61" t="s">
        <v>92</v>
      </c>
      <c r="N843" t="s">
        <v>54</v>
      </c>
    </row>
    <row r="844" spans="1:15" x14ac:dyDescent="0.25">
      <c r="A844" t="s">
        <v>448</v>
      </c>
      <c r="B844" s="116">
        <v>3</v>
      </c>
      <c r="C844" s="61" t="s">
        <v>1984</v>
      </c>
      <c r="D844" s="63" t="s">
        <v>1899</v>
      </c>
      <c r="E844" s="61"/>
      <c r="F844" s="61" t="s">
        <v>2181</v>
      </c>
      <c r="G844" s="61" t="s">
        <v>2076</v>
      </c>
      <c r="H844" s="61" t="s">
        <v>2079</v>
      </c>
      <c r="I844" s="75" t="s">
        <v>2452</v>
      </c>
      <c r="J844" s="63"/>
      <c r="K844" s="85">
        <v>0</v>
      </c>
      <c r="L844" s="85">
        <v>0</v>
      </c>
      <c r="M844" s="61" t="s">
        <v>91</v>
      </c>
      <c r="N844" t="s">
        <v>54</v>
      </c>
    </row>
    <row r="845" spans="1:15" x14ac:dyDescent="0.25">
      <c r="A845" t="s">
        <v>448</v>
      </c>
      <c r="B845" s="116">
        <v>4</v>
      </c>
      <c r="C845" s="63" t="s">
        <v>2765</v>
      </c>
      <c r="D845" s="63" t="s">
        <v>3796</v>
      </c>
      <c r="E845" s="63"/>
      <c r="F845" s="63"/>
      <c r="G845" s="63" t="s">
        <v>3197</v>
      </c>
      <c r="H845" s="57" t="s">
        <v>2969</v>
      </c>
      <c r="I845" s="63"/>
      <c r="J845" s="63"/>
      <c r="K845" s="85">
        <v>0</v>
      </c>
      <c r="L845" s="85">
        <v>0</v>
      </c>
      <c r="M845" s="57" t="s">
        <v>100</v>
      </c>
      <c r="N845" t="s">
        <v>54</v>
      </c>
    </row>
    <row r="846" spans="1:15" x14ac:dyDescent="0.25">
      <c r="A846" s="145" t="s">
        <v>449</v>
      </c>
      <c r="B846" s="141">
        <v>-99</v>
      </c>
      <c r="C846" s="91" t="s">
        <v>292</v>
      </c>
      <c r="E846" s="91"/>
      <c r="G846" s="91" t="s">
        <v>292</v>
      </c>
      <c r="H846" s="91" t="s">
        <v>292</v>
      </c>
      <c r="J846" s="91"/>
      <c r="K846" s="136"/>
      <c r="L846" s="136"/>
      <c r="M846" s="92"/>
      <c r="N846" s="138" t="s">
        <v>54</v>
      </c>
      <c r="O846" s="92"/>
    </row>
    <row r="847" spans="1:15" x14ac:dyDescent="0.25">
      <c r="A847" t="s">
        <v>449</v>
      </c>
      <c r="B847" s="116">
        <v>-99</v>
      </c>
      <c r="C847" s="63" t="s">
        <v>2767</v>
      </c>
      <c r="D847" s="63" t="s">
        <v>3355</v>
      </c>
      <c r="E847" s="63"/>
      <c r="F847" s="63"/>
      <c r="G847" s="63" t="s">
        <v>3199</v>
      </c>
      <c r="H847" s="57" t="s">
        <v>2971</v>
      </c>
      <c r="I847" s="63"/>
      <c r="J847" s="63"/>
      <c r="K847" s="85">
        <v>0</v>
      </c>
      <c r="L847" s="85">
        <v>0</v>
      </c>
      <c r="M847" s="57" t="s">
        <v>3005</v>
      </c>
      <c r="N847" t="s">
        <v>54</v>
      </c>
    </row>
    <row r="848" spans="1:15" x14ac:dyDescent="0.25">
      <c r="A848" s="123" t="s">
        <v>449</v>
      </c>
      <c r="B848" s="124">
        <v>0</v>
      </c>
      <c r="C848" s="125" t="s">
        <v>93</v>
      </c>
      <c r="D848" s="125" t="s">
        <v>1927</v>
      </c>
      <c r="E848" s="126" t="s">
        <v>2139</v>
      </c>
      <c r="F848" s="125" t="s">
        <v>2187</v>
      </c>
      <c r="G848" s="125" t="s">
        <v>277</v>
      </c>
      <c r="H848" s="125" t="s">
        <v>278</v>
      </c>
      <c r="I848" s="125" t="s">
        <v>2320</v>
      </c>
      <c r="J848" s="127"/>
      <c r="K848" s="124">
        <v>1</v>
      </c>
      <c r="L848" s="124" t="s">
        <v>605</v>
      </c>
      <c r="M848" s="125" t="s">
        <v>91</v>
      </c>
      <c r="N848" s="123" t="s">
        <v>54</v>
      </c>
      <c r="O848" s="123"/>
    </row>
    <row r="849" spans="1:15" x14ac:dyDescent="0.25">
      <c r="A849" t="s">
        <v>449</v>
      </c>
      <c r="B849" s="116">
        <v>1</v>
      </c>
      <c r="C849" s="61" t="s">
        <v>127</v>
      </c>
      <c r="D849" s="61" t="s">
        <v>1954</v>
      </c>
      <c r="E849" s="61"/>
      <c r="F849" s="61" t="s">
        <v>2184</v>
      </c>
      <c r="G849" s="61" t="s">
        <v>340</v>
      </c>
      <c r="H849" s="61" t="s">
        <v>341</v>
      </c>
      <c r="I849" s="75" t="s">
        <v>2345</v>
      </c>
      <c r="J849" s="63"/>
      <c r="K849" s="85">
        <v>1</v>
      </c>
      <c r="L849" s="84" t="s">
        <v>605</v>
      </c>
      <c r="M849" s="61" t="s">
        <v>100</v>
      </c>
      <c r="N849" t="s">
        <v>54</v>
      </c>
    </row>
    <row r="850" spans="1:15" x14ac:dyDescent="0.25">
      <c r="A850" t="s">
        <v>449</v>
      </c>
      <c r="B850" s="116">
        <v>2</v>
      </c>
      <c r="C850" s="61" t="s">
        <v>1989</v>
      </c>
      <c r="D850" s="61" t="s">
        <v>2063</v>
      </c>
      <c r="E850" s="61"/>
      <c r="F850" s="61" t="s">
        <v>2182</v>
      </c>
      <c r="G850" s="61" t="s">
        <v>2080</v>
      </c>
      <c r="H850" s="61" t="s">
        <v>1988</v>
      </c>
      <c r="I850" s="75" t="s">
        <v>2453</v>
      </c>
      <c r="J850" s="63"/>
      <c r="K850" s="85">
        <v>0</v>
      </c>
      <c r="L850" s="85" t="s">
        <v>605</v>
      </c>
      <c r="M850" s="61" t="s">
        <v>153</v>
      </c>
      <c r="N850" t="s">
        <v>54</v>
      </c>
    </row>
    <row r="851" spans="1:15" x14ac:dyDescent="0.25">
      <c r="A851" t="s">
        <v>449</v>
      </c>
      <c r="B851" s="116">
        <v>2</v>
      </c>
      <c r="C851" s="63" t="s">
        <v>2766</v>
      </c>
      <c r="D851" s="63" t="s">
        <v>3354</v>
      </c>
      <c r="E851" s="63"/>
      <c r="F851" s="63"/>
      <c r="G851" s="63" t="s">
        <v>3198</v>
      </c>
      <c r="H851" s="57" t="s">
        <v>2970</v>
      </c>
      <c r="I851" s="63"/>
      <c r="J851" s="63"/>
      <c r="K851" s="85">
        <v>0</v>
      </c>
      <c r="L851" s="85">
        <v>0</v>
      </c>
      <c r="M851" s="57" t="s">
        <v>3004</v>
      </c>
      <c r="N851" t="s">
        <v>54</v>
      </c>
    </row>
    <row r="852" spans="1:15" x14ac:dyDescent="0.25">
      <c r="A852" t="s">
        <v>449</v>
      </c>
      <c r="B852" s="116">
        <v>4</v>
      </c>
      <c r="C852" s="104" t="s">
        <v>1990</v>
      </c>
      <c r="D852" s="61" t="s">
        <v>1991</v>
      </c>
      <c r="E852" s="61"/>
      <c r="F852" s="62" t="s">
        <v>2268</v>
      </c>
      <c r="G852" s="61" t="s">
        <v>2082</v>
      </c>
      <c r="H852" s="61" t="s">
        <v>2081</v>
      </c>
      <c r="I852" s="75" t="s">
        <v>2454</v>
      </c>
      <c r="J852" s="63"/>
      <c r="K852" s="85">
        <v>0</v>
      </c>
      <c r="L852" s="85" t="s">
        <v>605</v>
      </c>
      <c r="M852" s="61" t="s">
        <v>91</v>
      </c>
      <c r="N852" t="s">
        <v>54</v>
      </c>
    </row>
    <row r="853" spans="1:15" x14ac:dyDescent="0.25">
      <c r="A853" t="s">
        <v>449</v>
      </c>
      <c r="B853" s="116">
        <v>5</v>
      </c>
      <c r="C853" s="63" t="s">
        <v>2768</v>
      </c>
      <c r="D853" s="57" t="s">
        <v>3382</v>
      </c>
      <c r="E853" s="63"/>
      <c r="F853" s="63"/>
      <c r="G853" s="63" t="s">
        <v>3200</v>
      </c>
      <c r="H853" s="57" t="s">
        <v>2972</v>
      </c>
      <c r="I853" s="63"/>
      <c r="J853" s="63"/>
      <c r="K853" s="85">
        <v>0</v>
      </c>
      <c r="L853" s="85">
        <v>0</v>
      </c>
      <c r="M853" s="57" t="s">
        <v>100</v>
      </c>
      <c r="N853" t="s">
        <v>54</v>
      </c>
    </row>
    <row r="854" spans="1:15" x14ac:dyDescent="0.25">
      <c r="A854" t="s">
        <v>449</v>
      </c>
      <c r="B854" s="116">
        <v>6</v>
      </c>
      <c r="C854" s="61" t="s">
        <v>1981</v>
      </c>
      <c r="D854" s="61" t="s">
        <v>1987</v>
      </c>
      <c r="E854" s="61"/>
      <c r="F854" s="61" t="s">
        <v>2271</v>
      </c>
      <c r="G854" s="61" t="s">
        <v>2083</v>
      </c>
      <c r="H854" s="61" t="s">
        <v>2084</v>
      </c>
      <c r="I854" s="75" t="s">
        <v>2269</v>
      </c>
      <c r="J854" s="63" t="s">
        <v>3463</v>
      </c>
      <c r="K854" s="85">
        <v>0</v>
      </c>
      <c r="L854" s="85">
        <v>0</v>
      </c>
      <c r="M854" s="61" t="s">
        <v>92</v>
      </c>
      <c r="N854" t="s">
        <v>54</v>
      </c>
    </row>
    <row r="855" spans="1:15" x14ac:dyDescent="0.25">
      <c r="A855" t="s">
        <v>449</v>
      </c>
      <c r="B855" s="116">
        <v>7</v>
      </c>
      <c r="C855" s="61" t="s">
        <v>1982</v>
      </c>
      <c r="D855" s="61" t="s">
        <v>1983</v>
      </c>
      <c r="E855" s="61"/>
      <c r="F855" s="61" t="s">
        <v>2270</v>
      </c>
      <c r="G855" s="61" t="s">
        <v>2085</v>
      </c>
      <c r="H855" s="61" t="s">
        <v>2086</v>
      </c>
      <c r="I855" s="75" t="s">
        <v>2455</v>
      </c>
      <c r="J855" s="63"/>
      <c r="K855" s="85">
        <v>0</v>
      </c>
      <c r="L855" s="85">
        <v>0</v>
      </c>
      <c r="M855" s="61" t="s">
        <v>156</v>
      </c>
      <c r="N855" t="s">
        <v>54</v>
      </c>
    </row>
    <row r="856" spans="1:15" x14ac:dyDescent="0.25">
      <c r="A856" t="s">
        <v>449</v>
      </c>
      <c r="B856" s="116">
        <v>8</v>
      </c>
      <c r="C856" s="63" t="s">
        <v>2770</v>
      </c>
      <c r="D856" s="63" t="s">
        <v>3356</v>
      </c>
      <c r="E856" s="63"/>
      <c r="F856" s="63"/>
      <c r="G856" s="63" t="s">
        <v>3202</v>
      </c>
      <c r="H856" s="57" t="s">
        <v>2974</v>
      </c>
      <c r="I856" s="63"/>
      <c r="J856" s="63"/>
      <c r="K856" s="85">
        <v>0</v>
      </c>
      <c r="L856" s="85">
        <v>0</v>
      </c>
      <c r="M856" s="57" t="s">
        <v>3021</v>
      </c>
      <c r="N856" t="s">
        <v>54</v>
      </c>
    </row>
    <row r="857" spans="1:15" x14ac:dyDescent="0.25">
      <c r="A857" t="s">
        <v>449</v>
      </c>
      <c r="B857" s="116">
        <v>8</v>
      </c>
      <c r="C857" s="63" t="s">
        <v>2769</v>
      </c>
      <c r="D857" s="63" t="s">
        <v>3357</v>
      </c>
      <c r="E857" s="63"/>
      <c r="F857" s="63"/>
      <c r="G857" s="63" t="s">
        <v>3201</v>
      </c>
      <c r="H857" s="57" t="s">
        <v>2973</v>
      </c>
      <c r="I857" s="63"/>
      <c r="J857" s="63"/>
      <c r="K857" s="85">
        <v>0</v>
      </c>
      <c r="L857" s="85">
        <v>0</v>
      </c>
      <c r="M857" s="57" t="s">
        <v>195</v>
      </c>
      <c r="N857" t="s">
        <v>54</v>
      </c>
    </row>
    <row r="858" spans="1:15" x14ac:dyDescent="0.25">
      <c r="A858" t="s">
        <v>479</v>
      </c>
      <c r="B858" s="115">
        <v>-99</v>
      </c>
      <c r="C858" s="61" t="s">
        <v>267</v>
      </c>
      <c r="D858" s="61" t="s">
        <v>1927</v>
      </c>
      <c r="E858" s="74" t="s">
        <v>2139</v>
      </c>
      <c r="F858" s="73" t="s">
        <v>2187</v>
      </c>
      <c r="G858" s="61" t="s">
        <v>480</v>
      </c>
      <c r="H858" s="61" t="s">
        <v>481</v>
      </c>
      <c r="I858" s="75" t="s">
        <v>2232</v>
      </c>
      <c r="J858" s="63"/>
      <c r="K858" s="84">
        <v>0</v>
      </c>
      <c r="L858" s="85">
        <v>0</v>
      </c>
      <c r="M858" s="61" t="s">
        <v>153</v>
      </c>
      <c r="N858" t="s">
        <v>80</v>
      </c>
    </row>
    <row r="859" spans="1:15" x14ac:dyDescent="0.25">
      <c r="A859" t="s">
        <v>479</v>
      </c>
      <c r="B859" s="115">
        <v>-99</v>
      </c>
      <c r="C859" s="61" t="s">
        <v>258</v>
      </c>
      <c r="D859" s="61" t="s">
        <v>2052</v>
      </c>
      <c r="E859" s="77" t="s">
        <v>1595</v>
      </c>
      <c r="F859" s="61" t="s">
        <v>2227</v>
      </c>
      <c r="G859" s="61" t="s">
        <v>465</v>
      </c>
      <c r="H859" s="61" t="s">
        <v>466</v>
      </c>
      <c r="I859" s="75" t="s">
        <v>2401</v>
      </c>
      <c r="J859" s="63"/>
      <c r="K859" s="84">
        <v>0</v>
      </c>
      <c r="L859" s="85">
        <v>0</v>
      </c>
      <c r="M859" s="61" t="s">
        <v>100</v>
      </c>
      <c r="N859" t="s">
        <v>80</v>
      </c>
    </row>
    <row r="860" spans="1:15" x14ac:dyDescent="0.25">
      <c r="A860" s="37" t="s">
        <v>53</v>
      </c>
      <c r="B860" s="86">
        <v>-99</v>
      </c>
      <c r="C860" s="62" t="s">
        <v>6779</v>
      </c>
      <c r="D860" s="62" t="s">
        <v>1927</v>
      </c>
      <c r="E860" s="69" t="s">
        <v>2139</v>
      </c>
      <c r="F860" s="62" t="s">
        <v>2187</v>
      </c>
      <c r="G860" s="62" t="s">
        <v>277</v>
      </c>
      <c r="H860" s="62" t="s">
        <v>292</v>
      </c>
      <c r="I860" s="62" t="s">
        <v>2320</v>
      </c>
      <c r="J860" s="64"/>
      <c r="K860" s="86">
        <v>1</v>
      </c>
      <c r="L860" s="86" t="s">
        <v>605</v>
      </c>
      <c r="M860" s="62" t="s">
        <v>100</v>
      </c>
      <c r="N860" s="37" t="s">
        <v>54</v>
      </c>
      <c r="O860" s="37"/>
    </row>
    <row r="861" spans="1:15" x14ac:dyDescent="0.25">
      <c r="A861" s="144" t="s">
        <v>53</v>
      </c>
      <c r="B861" s="142">
        <v>0</v>
      </c>
      <c r="C861" s="91" t="s">
        <v>6779</v>
      </c>
      <c r="E861" s="91"/>
      <c r="G861" s="91" t="s">
        <v>277</v>
      </c>
      <c r="H861" s="91" t="s">
        <v>292</v>
      </c>
      <c r="J861" s="91"/>
      <c r="K861" s="136"/>
      <c r="L861" s="136"/>
      <c r="M861" s="91"/>
      <c r="N861" s="138" t="s">
        <v>54</v>
      </c>
      <c r="O861" s="92"/>
    </row>
    <row r="862" spans="1:15" s="37" customFormat="1" x14ac:dyDescent="0.25">
      <c r="A862" s="37" t="s">
        <v>53</v>
      </c>
      <c r="B862" s="86">
        <v>0</v>
      </c>
      <c r="C862" s="149" t="s">
        <v>93</v>
      </c>
      <c r="D862" s="62" t="s">
        <v>1927</v>
      </c>
      <c r="E862" s="69" t="s">
        <v>2139</v>
      </c>
      <c r="F862" s="62" t="s">
        <v>2187</v>
      </c>
      <c r="G862" s="149" t="s">
        <v>6820</v>
      </c>
      <c r="H862" s="57" t="s">
        <v>6821</v>
      </c>
      <c r="I862" s="62" t="s">
        <v>2320</v>
      </c>
      <c r="J862" s="64"/>
      <c r="K862" s="86">
        <v>1</v>
      </c>
      <c r="L862" s="86" t="s">
        <v>605</v>
      </c>
      <c r="M862" s="62" t="s">
        <v>91</v>
      </c>
      <c r="N862" s="37" t="s">
        <v>54</v>
      </c>
    </row>
    <row r="863" spans="1:15" x14ac:dyDescent="0.25">
      <c r="A863" t="s">
        <v>53</v>
      </c>
      <c r="B863" s="117">
        <v>1</v>
      </c>
      <c r="C863" s="63" t="s">
        <v>2599</v>
      </c>
      <c r="D863" s="63" t="s">
        <v>3363</v>
      </c>
      <c r="E863" s="63"/>
      <c r="F863" s="63"/>
      <c r="G863" s="63" t="s">
        <v>3023</v>
      </c>
      <c r="H863" s="57" t="s">
        <v>2804</v>
      </c>
      <c r="I863" s="63"/>
      <c r="J863" s="63"/>
      <c r="K863" s="87">
        <v>0</v>
      </c>
      <c r="L863" s="85">
        <v>0</v>
      </c>
      <c r="M863" s="57" t="s">
        <v>100</v>
      </c>
      <c r="N863" t="s">
        <v>54</v>
      </c>
    </row>
    <row r="864" spans="1:15" x14ac:dyDescent="0.25">
      <c r="A864" t="s">
        <v>53</v>
      </c>
      <c r="B864" s="116">
        <v>3</v>
      </c>
      <c r="C864" s="61" t="s">
        <v>116</v>
      </c>
      <c r="D864" s="61" t="s">
        <v>1926</v>
      </c>
      <c r="E864" s="77" t="s">
        <v>1531</v>
      </c>
      <c r="F864" s="61" t="s">
        <v>2155</v>
      </c>
      <c r="G864" s="61" t="s">
        <v>318</v>
      </c>
      <c r="H864" s="61" t="s">
        <v>319</v>
      </c>
      <c r="I864" s="61" t="s">
        <v>2223</v>
      </c>
      <c r="J864" s="63"/>
      <c r="K864" s="85">
        <v>0</v>
      </c>
      <c r="L864" s="85">
        <v>0</v>
      </c>
      <c r="M864" s="61" t="s">
        <v>100</v>
      </c>
      <c r="N864" t="s">
        <v>54</v>
      </c>
    </row>
    <row r="865" spans="1:15" x14ac:dyDescent="0.25">
      <c r="A865" t="s">
        <v>53</v>
      </c>
      <c r="B865" s="116">
        <v>4</v>
      </c>
      <c r="C865" s="63" t="s">
        <v>2600</v>
      </c>
      <c r="D865" s="63" t="s">
        <v>2805</v>
      </c>
      <c r="E865" s="63"/>
      <c r="F865" s="63"/>
      <c r="G865" s="63" t="s">
        <v>3024</v>
      </c>
      <c r="H865" s="57" t="s">
        <v>2805</v>
      </c>
      <c r="I865" s="63"/>
      <c r="J865" s="63"/>
      <c r="K865" s="85">
        <v>0</v>
      </c>
      <c r="L865" s="85">
        <v>0</v>
      </c>
      <c r="M865" s="57" t="s">
        <v>100</v>
      </c>
      <c r="N865" t="s">
        <v>54</v>
      </c>
    </row>
    <row r="866" spans="1:15" x14ac:dyDescent="0.25">
      <c r="A866" t="s">
        <v>53</v>
      </c>
      <c r="B866" s="116">
        <v>5</v>
      </c>
      <c r="C866" s="63" t="s">
        <v>2601</v>
      </c>
      <c r="D866" s="64" t="s">
        <v>2806</v>
      </c>
      <c r="E866" s="63"/>
      <c r="F866" s="63"/>
      <c r="G866" s="63" t="s">
        <v>3025</v>
      </c>
      <c r="H866" s="57" t="s">
        <v>2806</v>
      </c>
      <c r="I866" s="63"/>
      <c r="J866" s="63"/>
      <c r="K866" s="85">
        <v>0</v>
      </c>
      <c r="L866" s="85">
        <v>0</v>
      </c>
      <c r="M866" s="57" t="s">
        <v>100</v>
      </c>
      <c r="N866" t="s">
        <v>54</v>
      </c>
    </row>
    <row r="867" spans="1:15" x14ac:dyDescent="0.25">
      <c r="A867" t="s">
        <v>53</v>
      </c>
      <c r="B867" s="116">
        <v>6</v>
      </c>
      <c r="C867" s="63" t="s">
        <v>2602</v>
      </c>
      <c r="D867" s="64" t="s">
        <v>5085</v>
      </c>
      <c r="E867" s="63"/>
      <c r="F867" s="63"/>
      <c r="G867" s="63" t="s">
        <v>3026</v>
      </c>
      <c r="H867" s="57" t="s">
        <v>2807</v>
      </c>
      <c r="I867" s="63"/>
      <c r="J867" s="63"/>
      <c r="K867" s="85">
        <v>0</v>
      </c>
      <c r="L867" s="85">
        <v>0</v>
      </c>
      <c r="M867" s="57" t="s">
        <v>100</v>
      </c>
      <c r="N867" t="s">
        <v>54</v>
      </c>
    </row>
    <row r="868" spans="1:15" x14ac:dyDescent="0.25">
      <c r="A868" t="s">
        <v>53</v>
      </c>
      <c r="B868" s="116">
        <v>7</v>
      </c>
      <c r="C868" s="63" t="s">
        <v>2603</v>
      </c>
      <c r="D868" s="64" t="s">
        <v>2808</v>
      </c>
      <c r="E868" s="63"/>
      <c r="F868" s="63"/>
      <c r="G868" s="63" t="s">
        <v>634</v>
      </c>
      <c r="H868" s="57" t="s">
        <v>2808</v>
      </c>
      <c r="I868" s="63"/>
      <c r="J868" s="63"/>
      <c r="K868" s="85">
        <v>0</v>
      </c>
      <c r="L868" s="85">
        <v>0</v>
      </c>
      <c r="M868" s="57" t="s">
        <v>100</v>
      </c>
      <c r="N868" t="s">
        <v>54</v>
      </c>
    </row>
    <row r="869" spans="1:15" x14ac:dyDescent="0.25">
      <c r="A869" t="s">
        <v>53</v>
      </c>
      <c r="B869" s="116">
        <v>8</v>
      </c>
      <c r="C869" s="104" t="s">
        <v>117</v>
      </c>
      <c r="D869" s="61" t="s">
        <v>321</v>
      </c>
      <c r="E869" s="77" t="s">
        <v>1532</v>
      </c>
      <c r="F869" s="61" t="s">
        <v>2159</v>
      </c>
      <c r="G869" s="61" t="s">
        <v>320</v>
      </c>
      <c r="H869" s="61" t="s">
        <v>321</v>
      </c>
      <c r="I869" s="61" t="s">
        <v>2159</v>
      </c>
      <c r="J869" s="63"/>
      <c r="K869" s="85">
        <v>0</v>
      </c>
      <c r="L869" s="85" t="s">
        <v>605</v>
      </c>
      <c r="M869" s="61" t="s">
        <v>91</v>
      </c>
      <c r="N869" t="s">
        <v>54</v>
      </c>
    </row>
    <row r="870" spans="1:15" x14ac:dyDescent="0.25">
      <c r="A870" t="s">
        <v>53</v>
      </c>
      <c r="B870" s="116">
        <v>9</v>
      </c>
      <c r="C870" s="61" t="s">
        <v>118</v>
      </c>
      <c r="D870" s="61" t="s">
        <v>1959</v>
      </c>
      <c r="E870" s="77" t="s">
        <v>1533</v>
      </c>
      <c r="F870" s="61" t="s">
        <v>2189</v>
      </c>
      <c r="G870" s="61" t="s">
        <v>322</v>
      </c>
      <c r="H870" s="61" t="s">
        <v>323</v>
      </c>
      <c r="I870" s="61" t="s">
        <v>2504</v>
      </c>
      <c r="J870" s="63"/>
      <c r="K870" s="85">
        <v>1</v>
      </c>
      <c r="L870" s="84" t="s">
        <v>605</v>
      </c>
      <c r="M870" s="61" t="s">
        <v>100</v>
      </c>
      <c r="N870" t="s">
        <v>54</v>
      </c>
    </row>
    <row r="871" spans="1:15" x14ac:dyDescent="0.25">
      <c r="A871" s="144" t="s">
        <v>53</v>
      </c>
      <c r="B871" s="141">
        <v>10</v>
      </c>
      <c r="C871" s="91" t="s">
        <v>6780</v>
      </c>
      <c r="E871" s="91"/>
      <c r="G871" s="91" t="s">
        <v>6822</v>
      </c>
      <c r="H871" s="91" t="s">
        <v>6823</v>
      </c>
      <c r="J871" s="91"/>
      <c r="K871" s="136"/>
      <c r="L871" s="136"/>
      <c r="M871" s="91" t="s">
        <v>100</v>
      </c>
      <c r="N871" s="138" t="s">
        <v>54</v>
      </c>
      <c r="O871" s="92"/>
    </row>
    <row r="872" spans="1:15" x14ac:dyDescent="0.25">
      <c r="A872" t="s">
        <v>53</v>
      </c>
      <c r="B872" s="116">
        <v>11</v>
      </c>
      <c r="C872" s="61" t="s">
        <v>119</v>
      </c>
      <c r="D872" s="61" t="s">
        <v>1960</v>
      </c>
      <c r="E872" s="77" t="s">
        <v>1534</v>
      </c>
      <c r="F872" s="61" t="s">
        <v>2190</v>
      </c>
      <c r="G872" s="61" t="s">
        <v>324</v>
      </c>
      <c r="H872" s="61" t="s">
        <v>325</v>
      </c>
      <c r="I872" s="61" t="s">
        <v>2503</v>
      </c>
      <c r="J872" s="63"/>
      <c r="K872" s="85">
        <v>1</v>
      </c>
      <c r="L872" s="84" t="s">
        <v>605</v>
      </c>
      <c r="M872" s="61" t="s">
        <v>100</v>
      </c>
      <c r="N872" t="s">
        <v>54</v>
      </c>
    </row>
    <row r="873" spans="1:15" x14ac:dyDescent="0.25">
      <c r="A873" s="144" t="s">
        <v>53</v>
      </c>
      <c r="B873" s="141">
        <v>12</v>
      </c>
      <c r="C873" s="91" t="s">
        <v>119</v>
      </c>
      <c r="E873" s="91"/>
      <c r="G873" s="91" t="s">
        <v>6824</v>
      </c>
      <c r="H873" s="91" t="s">
        <v>6825</v>
      </c>
      <c r="J873" s="91"/>
      <c r="K873" s="136"/>
      <c r="L873" s="136"/>
      <c r="M873" s="91" t="s">
        <v>100</v>
      </c>
      <c r="N873" s="138" t="s">
        <v>54</v>
      </c>
      <c r="O873" s="92"/>
    </row>
    <row r="874" spans="1:15" x14ac:dyDescent="0.25">
      <c r="A874" t="s">
        <v>53</v>
      </c>
      <c r="B874" s="116">
        <v>13</v>
      </c>
      <c r="C874" s="61" t="s">
        <v>120</v>
      </c>
      <c r="D874" s="61" t="s">
        <v>1961</v>
      </c>
      <c r="E874" s="77" t="s">
        <v>1535</v>
      </c>
      <c r="F874" s="61" t="s">
        <v>2191</v>
      </c>
      <c r="G874" s="61" t="s">
        <v>326</v>
      </c>
      <c r="H874" s="61" t="s">
        <v>327</v>
      </c>
      <c r="I874" s="61" t="s">
        <v>2502</v>
      </c>
      <c r="J874" s="63"/>
      <c r="K874" s="85">
        <v>1</v>
      </c>
      <c r="L874" s="84" t="s">
        <v>605</v>
      </c>
      <c r="M874" s="61" t="s">
        <v>100</v>
      </c>
      <c r="N874" t="s">
        <v>54</v>
      </c>
    </row>
    <row r="875" spans="1:15" x14ac:dyDescent="0.25">
      <c r="A875" s="144" t="s">
        <v>53</v>
      </c>
      <c r="B875" s="141">
        <v>14</v>
      </c>
      <c r="C875" s="91" t="s">
        <v>120</v>
      </c>
      <c r="E875" s="91"/>
      <c r="G875" s="91" t="s">
        <v>6826</v>
      </c>
      <c r="H875" s="91" t="s">
        <v>6827</v>
      </c>
      <c r="J875" s="91"/>
      <c r="K875" s="136"/>
      <c r="L875" s="136"/>
      <c r="M875" s="91" t="s">
        <v>100</v>
      </c>
      <c r="N875" s="138" t="s">
        <v>54</v>
      </c>
      <c r="O875" s="92"/>
    </row>
    <row r="876" spans="1:15" x14ac:dyDescent="0.25">
      <c r="A876" t="s">
        <v>53</v>
      </c>
      <c r="B876" s="116">
        <v>15</v>
      </c>
      <c r="C876" s="61" t="s">
        <v>121</v>
      </c>
      <c r="D876" s="61" t="s">
        <v>1962</v>
      </c>
      <c r="E876" s="77" t="s">
        <v>1536</v>
      </c>
      <c r="F876" s="61" t="s">
        <v>2192</v>
      </c>
      <c r="G876" s="61" t="s">
        <v>328</v>
      </c>
      <c r="H876" s="61" t="s">
        <v>329</v>
      </c>
      <c r="I876" s="61" t="s">
        <v>2501</v>
      </c>
      <c r="J876" s="63"/>
      <c r="K876" s="85">
        <v>1</v>
      </c>
      <c r="L876" s="84" t="s">
        <v>605</v>
      </c>
      <c r="M876" s="61" t="s">
        <v>100</v>
      </c>
      <c r="N876" t="s">
        <v>54</v>
      </c>
    </row>
    <row r="877" spans="1:15" x14ac:dyDescent="0.25">
      <c r="A877" s="144" t="s">
        <v>53</v>
      </c>
      <c r="B877" s="141">
        <v>16</v>
      </c>
      <c r="C877" s="91" t="s">
        <v>121</v>
      </c>
      <c r="E877" s="91"/>
      <c r="G877" s="91" t="s">
        <v>6828</v>
      </c>
      <c r="H877" s="91" t="s">
        <v>6829</v>
      </c>
      <c r="J877" s="91"/>
      <c r="K877" s="136"/>
      <c r="L877" s="136"/>
      <c r="M877" s="91" t="s">
        <v>100</v>
      </c>
      <c r="N877" s="138" t="s">
        <v>54</v>
      </c>
      <c r="O877" s="92"/>
    </row>
    <row r="878" spans="1:15" x14ac:dyDescent="0.25">
      <c r="A878" t="s">
        <v>53</v>
      </c>
      <c r="B878" s="116">
        <v>17</v>
      </c>
      <c r="C878" s="61" t="s">
        <v>122</v>
      </c>
      <c r="D878" s="61" t="s">
        <v>1963</v>
      </c>
      <c r="E878" s="77" t="s">
        <v>1537</v>
      </c>
      <c r="F878" s="62" t="s">
        <v>2193</v>
      </c>
      <c r="G878" s="61" t="s">
        <v>330</v>
      </c>
      <c r="H878" s="61" t="s">
        <v>331</v>
      </c>
      <c r="I878" s="61" t="s">
        <v>2500</v>
      </c>
      <c r="J878" s="63"/>
      <c r="K878" s="85">
        <v>1</v>
      </c>
      <c r="L878" s="84" t="s">
        <v>605</v>
      </c>
      <c r="M878" s="61" t="s">
        <v>100</v>
      </c>
      <c r="N878" t="s">
        <v>54</v>
      </c>
    </row>
    <row r="879" spans="1:15" x14ac:dyDescent="0.25">
      <c r="A879" s="144" t="s">
        <v>53</v>
      </c>
      <c r="B879" s="141">
        <v>18</v>
      </c>
      <c r="C879" s="91" t="s">
        <v>122</v>
      </c>
      <c r="E879" s="91"/>
      <c r="G879" s="91" t="s">
        <v>6830</v>
      </c>
      <c r="H879" s="91" t="s">
        <v>6831</v>
      </c>
      <c r="J879" s="91"/>
      <c r="K879" s="136"/>
      <c r="L879" s="136"/>
      <c r="M879" s="91" t="s">
        <v>100</v>
      </c>
      <c r="N879" s="138" t="s">
        <v>54</v>
      </c>
      <c r="O879" s="92"/>
    </row>
    <row r="880" spans="1:15" x14ac:dyDescent="0.25">
      <c r="A880" t="s">
        <v>53</v>
      </c>
      <c r="B880" s="116">
        <v>19</v>
      </c>
      <c r="C880" s="61" t="s">
        <v>123</v>
      </c>
      <c r="D880" s="61" t="s">
        <v>1964</v>
      </c>
      <c r="E880" s="77" t="s">
        <v>1659</v>
      </c>
      <c r="F880" s="61" t="s">
        <v>2194</v>
      </c>
      <c r="G880" s="61" t="s">
        <v>332</v>
      </c>
      <c r="H880" s="61" t="s">
        <v>333</v>
      </c>
      <c r="I880" s="61" t="s">
        <v>2341</v>
      </c>
      <c r="J880" s="63"/>
      <c r="K880" s="85">
        <v>1</v>
      </c>
      <c r="L880" s="84" t="s">
        <v>605</v>
      </c>
      <c r="M880" s="61" t="s">
        <v>100</v>
      </c>
      <c r="N880" t="s">
        <v>54</v>
      </c>
    </row>
    <row r="881" spans="1:15" x14ac:dyDescent="0.25">
      <c r="A881" s="144" t="s">
        <v>53</v>
      </c>
      <c r="B881" s="141">
        <v>20</v>
      </c>
      <c r="C881" s="91" t="s">
        <v>123</v>
      </c>
      <c r="E881" s="91"/>
      <c r="G881" s="91" t="s">
        <v>6832</v>
      </c>
      <c r="H881" s="91" t="s">
        <v>6833</v>
      </c>
      <c r="J881" s="91"/>
      <c r="K881" s="136"/>
      <c r="L881" s="136"/>
      <c r="M881" s="91" t="s">
        <v>100</v>
      </c>
      <c r="N881" s="138" t="s">
        <v>54</v>
      </c>
      <c r="O881" s="92"/>
    </row>
    <row r="882" spans="1:15" x14ac:dyDescent="0.25">
      <c r="A882" t="s">
        <v>53</v>
      </c>
      <c r="B882" s="116">
        <v>21</v>
      </c>
      <c r="C882" s="61" t="s">
        <v>124</v>
      </c>
      <c r="D882" s="61" t="s">
        <v>1965</v>
      </c>
      <c r="E882" s="77" t="s">
        <v>1538</v>
      </c>
      <c r="F882" s="61" t="s">
        <v>2195</v>
      </c>
      <c r="G882" s="61" t="s">
        <v>334</v>
      </c>
      <c r="H882" s="61" t="s">
        <v>335</v>
      </c>
      <c r="I882" s="61" t="s">
        <v>2342</v>
      </c>
      <c r="J882" s="63"/>
      <c r="K882" s="85">
        <v>1</v>
      </c>
      <c r="L882" s="84" t="s">
        <v>605</v>
      </c>
      <c r="M882" s="61" t="s">
        <v>100</v>
      </c>
      <c r="N882" t="s">
        <v>54</v>
      </c>
    </row>
    <row r="883" spans="1:15" x14ac:dyDescent="0.25">
      <c r="A883" s="144" t="s">
        <v>53</v>
      </c>
      <c r="B883" s="141">
        <v>22</v>
      </c>
      <c r="C883" s="91" t="s">
        <v>124</v>
      </c>
      <c r="E883" s="91"/>
      <c r="G883" s="91" t="s">
        <v>6834</v>
      </c>
      <c r="H883" s="91" t="s">
        <v>6835</v>
      </c>
      <c r="J883" s="91"/>
      <c r="K883" s="136"/>
      <c r="L883" s="136"/>
      <c r="M883" s="91" t="s">
        <v>100</v>
      </c>
      <c r="N883" s="138" t="s">
        <v>54</v>
      </c>
      <c r="O883" s="92"/>
    </row>
    <row r="884" spans="1:15" x14ac:dyDescent="0.25">
      <c r="A884" t="s">
        <v>53</v>
      </c>
      <c r="B884" s="116">
        <v>23</v>
      </c>
      <c r="C884" s="61" t="s">
        <v>125</v>
      </c>
      <c r="D884" s="61" t="s">
        <v>1966</v>
      </c>
      <c r="E884" s="77" t="s">
        <v>1539</v>
      </c>
      <c r="F884" s="61" t="s">
        <v>2196</v>
      </c>
      <c r="G884" s="61" t="s">
        <v>336</v>
      </c>
      <c r="H884" s="61" t="s">
        <v>337</v>
      </c>
      <c r="I884" s="61" t="s">
        <v>2493</v>
      </c>
      <c r="J884" s="63"/>
      <c r="K884" s="85">
        <v>1</v>
      </c>
      <c r="L884" s="84" t="s">
        <v>605</v>
      </c>
      <c r="M884" s="61" t="s">
        <v>100</v>
      </c>
      <c r="N884" t="s">
        <v>54</v>
      </c>
    </row>
    <row r="885" spans="1:15" x14ac:dyDescent="0.25">
      <c r="A885" s="144" t="s">
        <v>53</v>
      </c>
      <c r="B885" s="141">
        <v>24</v>
      </c>
      <c r="C885" s="91" t="s">
        <v>125</v>
      </c>
      <c r="E885" s="91"/>
      <c r="G885" s="91" t="s">
        <v>6836</v>
      </c>
      <c r="H885" s="91" t="s">
        <v>6837</v>
      </c>
      <c r="J885" s="91"/>
      <c r="K885" s="136"/>
      <c r="L885" s="136"/>
      <c r="M885" s="91" t="s">
        <v>100</v>
      </c>
      <c r="N885" s="138" t="s">
        <v>54</v>
      </c>
      <c r="O885" s="92"/>
    </row>
    <row r="886" spans="1:15" x14ac:dyDescent="0.25">
      <c r="A886" t="s">
        <v>53</v>
      </c>
      <c r="B886" s="116">
        <v>25</v>
      </c>
      <c r="C886" s="61" t="s">
        <v>126</v>
      </c>
      <c r="D886" s="61" t="s">
        <v>1967</v>
      </c>
      <c r="E886" s="77" t="s">
        <v>1540</v>
      </c>
      <c r="F886" s="62" t="s">
        <v>2274</v>
      </c>
      <c r="G886" s="61" t="s">
        <v>338</v>
      </c>
      <c r="H886" s="61" t="s">
        <v>339</v>
      </c>
      <c r="I886" s="61" t="s">
        <v>2494</v>
      </c>
      <c r="J886" s="63"/>
      <c r="K886" s="85">
        <v>1</v>
      </c>
      <c r="L886" s="84" t="s">
        <v>605</v>
      </c>
      <c r="M886" s="61" t="s">
        <v>100</v>
      </c>
      <c r="N886" t="s">
        <v>54</v>
      </c>
    </row>
    <row r="887" spans="1:15" x14ac:dyDescent="0.25">
      <c r="A887" s="144" t="s">
        <v>53</v>
      </c>
      <c r="B887" s="141">
        <v>26</v>
      </c>
      <c r="C887" s="91" t="s">
        <v>126</v>
      </c>
      <c r="E887" s="91"/>
      <c r="G887" s="91" t="s">
        <v>6838</v>
      </c>
      <c r="H887" s="91" t="s">
        <v>6839</v>
      </c>
      <c r="J887" s="91"/>
      <c r="K887" s="136"/>
      <c r="L887" s="136"/>
      <c r="M887" s="91" t="s">
        <v>100</v>
      </c>
      <c r="N887" s="138" t="s">
        <v>54</v>
      </c>
      <c r="O887" s="92"/>
    </row>
    <row r="888" spans="1:15" x14ac:dyDescent="0.25">
      <c r="A888" t="s">
        <v>53</v>
      </c>
      <c r="B888" s="116">
        <v>27</v>
      </c>
      <c r="C888" s="61" t="s">
        <v>127</v>
      </c>
      <c r="D888" s="61" t="s">
        <v>1968</v>
      </c>
      <c r="E888" s="77" t="s">
        <v>1541</v>
      </c>
      <c r="F888" s="61" t="s">
        <v>2197</v>
      </c>
      <c r="G888" s="61" t="s">
        <v>340</v>
      </c>
      <c r="H888" s="61" t="s">
        <v>341</v>
      </c>
      <c r="I888" s="61" t="s">
        <v>2495</v>
      </c>
      <c r="J888" s="63"/>
      <c r="K888" s="85">
        <v>1</v>
      </c>
      <c r="L888" s="84" t="s">
        <v>605</v>
      </c>
      <c r="M888" s="61" t="s">
        <v>100</v>
      </c>
      <c r="N888" t="s">
        <v>54</v>
      </c>
    </row>
    <row r="889" spans="1:15" x14ac:dyDescent="0.25">
      <c r="A889" s="144" t="s">
        <v>53</v>
      </c>
      <c r="B889" s="141">
        <v>28</v>
      </c>
      <c r="C889" s="91" t="s">
        <v>127</v>
      </c>
      <c r="E889" s="91"/>
      <c r="G889" s="91" t="s">
        <v>6840</v>
      </c>
      <c r="H889" s="91" t="s">
        <v>341</v>
      </c>
      <c r="J889" s="91"/>
      <c r="K889" s="136"/>
      <c r="L889" s="136"/>
      <c r="M889" s="91" t="s">
        <v>100</v>
      </c>
      <c r="N889" s="138" t="s">
        <v>54</v>
      </c>
      <c r="O889" s="92"/>
    </row>
    <row r="890" spans="1:15" x14ac:dyDescent="0.25">
      <c r="A890" t="s">
        <v>53</v>
      </c>
      <c r="B890" s="116">
        <v>29</v>
      </c>
      <c r="C890" s="61" t="s">
        <v>128</v>
      </c>
      <c r="D890" s="61" t="s">
        <v>1969</v>
      </c>
      <c r="E890" s="77" t="s">
        <v>1542</v>
      </c>
      <c r="F890" s="61" t="s">
        <v>2198</v>
      </c>
      <c r="G890" s="61" t="s">
        <v>342</v>
      </c>
      <c r="H890" s="61" t="s">
        <v>343</v>
      </c>
      <c r="I890" s="61" t="s">
        <v>2496</v>
      </c>
      <c r="J890" s="63"/>
      <c r="K890" s="85">
        <v>1</v>
      </c>
      <c r="L890" s="84" t="s">
        <v>605</v>
      </c>
      <c r="M890" s="61" t="s">
        <v>100</v>
      </c>
      <c r="N890" t="s">
        <v>54</v>
      </c>
    </row>
    <row r="891" spans="1:15" x14ac:dyDescent="0.25">
      <c r="A891" s="144" t="s">
        <v>53</v>
      </c>
      <c r="B891" s="141">
        <v>30</v>
      </c>
      <c r="C891" s="91" t="s">
        <v>128</v>
      </c>
      <c r="E891" s="91"/>
      <c r="G891" s="91" t="s">
        <v>6841</v>
      </c>
      <c r="H891" s="91" t="s">
        <v>6842</v>
      </c>
      <c r="J891" s="91"/>
      <c r="K891" s="136"/>
      <c r="L891" s="136"/>
      <c r="M891" s="91" t="s">
        <v>100</v>
      </c>
      <c r="N891" s="138" t="s">
        <v>54</v>
      </c>
      <c r="O891" s="92"/>
    </row>
    <row r="892" spans="1:15" x14ac:dyDescent="0.25">
      <c r="A892" t="s">
        <v>53</v>
      </c>
      <c r="B892" s="116">
        <v>31</v>
      </c>
      <c r="C892" s="61" t="s">
        <v>129</v>
      </c>
      <c r="D892" s="61" t="s">
        <v>1970</v>
      </c>
      <c r="E892" s="77" t="s">
        <v>1543</v>
      </c>
      <c r="F892" s="61" t="s">
        <v>2199</v>
      </c>
      <c r="G892" s="61" t="s">
        <v>344</v>
      </c>
      <c r="H892" s="61" t="s">
        <v>345</v>
      </c>
      <c r="I892" s="61" t="s">
        <v>2497</v>
      </c>
      <c r="J892" s="63"/>
      <c r="K892" s="85">
        <v>1</v>
      </c>
      <c r="L892" s="84" t="s">
        <v>605</v>
      </c>
      <c r="M892" s="61" t="s">
        <v>100</v>
      </c>
      <c r="N892" t="s">
        <v>54</v>
      </c>
    </row>
    <row r="893" spans="1:15" x14ac:dyDescent="0.25">
      <c r="A893" s="144" t="s">
        <v>53</v>
      </c>
      <c r="B893" s="141">
        <v>32</v>
      </c>
      <c r="C893" s="91" t="s">
        <v>129</v>
      </c>
      <c r="E893" s="91"/>
      <c r="G893" s="91" t="s">
        <v>6843</v>
      </c>
      <c r="H893" s="91" t="s">
        <v>6844</v>
      </c>
      <c r="J893" s="91"/>
      <c r="K893" s="136"/>
      <c r="L893" s="136"/>
      <c r="M893" s="91" t="s">
        <v>100</v>
      </c>
      <c r="N893" s="138" t="s">
        <v>54</v>
      </c>
      <c r="O893" s="92"/>
    </row>
    <row r="894" spans="1:15" x14ac:dyDescent="0.25">
      <c r="A894" t="s">
        <v>53</v>
      </c>
      <c r="B894" s="116">
        <v>33</v>
      </c>
      <c r="C894" s="61" t="s">
        <v>130</v>
      </c>
      <c r="D894" s="61" t="s">
        <v>2068</v>
      </c>
      <c r="E894" s="77" t="s">
        <v>1544</v>
      </c>
      <c r="F894" s="61" t="s">
        <v>2200</v>
      </c>
      <c r="G894" s="61" t="s">
        <v>346</v>
      </c>
      <c r="H894" s="61" t="s">
        <v>347</v>
      </c>
      <c r="I894" s="61" t="s">
        <v>2498</v>
      </c>
      <c r="J894" s="63"/>
      <c r="K894" s="85">
        <v>1</v>
      </c>
      <c r="L894" s="84" t="s">
        <v>605</v>
      </c>
      <c r="M894" s="61" t="s">
        <v>100</v>
      </c>
      <c r="N894" t="s">
        <v>54</v>
      </c>
    </row>
    <row r="895" spans="1:15" x14ac:dyDescent="0.25">
      <c r="A895" s="144" t="s">
        <v>53</v>
      </c>
      <c r="B895" s="141">
        <v>34</v>
      </c>
      <c r="C895" s="91" t="s">
        <v>130</v>
      </c>
      <c r="E895" s="91"/>
      <c r="G895" s="91" t="s">
        <v>6847</v>
      </c>
      <c r="H895" s="91" t="s">
        <v>6848</v>
      </c>
      <c r="J895" s="91"/>
      <c r="K895" s="136"/>
      <c r="L895" s="136"/>
      <c r="M895" s="91" t="s">
        <v>100</v>
      </c>
      <c r="N895" s="138" t="s">
        <v>54</v>
      </c>
      <c r="O895" s="92"/>
    </row>
    <row r="896" spans="1:15" x14ac:dyDescent="0.25">
      <c r="A896" t="s">
        <v>53</v>
      </c>
      <c r="B896" s="116">
        <v>35</v>
      </c>
      <c r="C896" s="61" t="s">
        <v>131</v>
      </c>
      <c r="D896" s="61" t="s">
        <v>2069</v>
      </c>
      <c r="E896" s="77" t="s">
        <v>1545</v>
      </c>
      <c r="F896" s="61" t="s">
        <v>2201</v>
      </c>
      <c r="G896" s="61" t="s">
        <v>348</v>
      </c>
      <c r="H896" s="61" t="s">
        <v>349</v>
      </c>
      <c r="I896" s="61" t="s">
        <v>2499</v>
      </c>
      <c r="J896" s="63"/>
      <c r="K896" s="85">
        <v>1</v>
      </c>
      <c r="L896" s="84" t="s">
        <v>605</v>
      </c>
      <c r="M896" s="61" t="s">
        <v>100</v>
      </c>
      <c r="N896" t="s">
        <v>54</v>
      </c>
    </row>
    <row r="897" spans="1:15" x14ac:dyDescent="0.25">
      <c r="A897" s="144" t="s">
        <v>53</v>
      </c>
      <c r="B897" s="141">
        <v>36</v>
      </c>
      <c r="C897" s="91" t="s">
        <v>131</v>
      </c>
      <c r="E897" s="91"/>
      <c r="G897" s="91" t="s">
        <v>6845</v>
      </c>
      <c r="H897" s="91" t="s">
        <v>6846</v>
      </c>
      <c r="J897" s="91"/>
      <c r="K897" s="136"/>
      <c r="L897" s="136"/>
      <c r="M897" s="91" t="s">
        <v>100</v>
      </c>
      <c r="N897" s="138" t="s">
        <v>54</v>
      </c>
      <c r="O897" s="92"/>
    </row>
    <row r="898" spans="1:15" x14ac:dyDescent="0.25">
      <c r="A898" t="s">
        <v>53</v>
      </c>
      <c r="B898" s="116">
        <v>37</v>
      </c>
      <c r="C898" s="63" t="s">
        <v>2604</v>
      </c>
      <c r="D898" s="63" t="s">
        <v>1899</v>
      </c>
      <c r="E898" s="63"/>
      <c r="F898" s="63"/>
      <c r="G898" s="63" t="s">
        <v>3027</v>
      </c>
      <c r="H898" s="57" t="s">
        <v>2809</v>
      </c>
      <c r="I898" s="63"/>
      <c r="J898" s="63"/>
      <c r="K898" s="85">
        <v>0</v>
      </c>
      <c r="L898" s="85">
        <v>0</v>
      </c>
      <c r="M898" s="57" t="s">
        <v>91</v>
      </c>
      <c r="N898" t="s">
        <v>54</v>
      </c>
    </row>
    <row r="899" spans="1:15" x14ac:dyDescent="0.25">
      <c r="A899" s="143" t="s">
        <v>4329</v>
      </c>
      <c r="C899" s="58" t="s">
        <v>6938</v>
      </c>
      <c r="E899" s="57"/>
      <c r="F899" s="60"/>
      <c r="G899" s="57" t="s">
        <v>6939</v>
      </c>
      <c r="H899" s="57" t="s">
        <v>6940</v>
      </c>
      <c r="J899" s="57"/>
      <c r="K899" s="147"/>
      <c r="L899" s="147"/>
      <c r="M899" s="57" t="s">
        <v>3005</v>
      </c>
      <c r="N899" s="148" t="s">
        <v>80</v>
      </c>
    </row>
    <row r="900" spans="1:15" x14ac:dyDescent="0.25">
      <c r="A900" s="143" t="s">
        <v>4329</v>
      </c>
      <c r="C900" s="58" t="s">
        <v>6941</v>
      </c>
      <c r="E900" s="57"/>
      <c r="F900" s="60"/>
      <c r="G900" s="57" t="s">
        <v>6942</v>
      </c>
      <c r="H900" s="57" t="s">
        <v>6943</v>
      </c>
      <c r="J900" s="57"/>
      <c r="K900" s="147"/>
      <c r="L900" s="147"/>
      <c r="M900" s="57" t="s">
        <v>3005</v>
      </c>
      <c r="N900" s="148" t="s">
        <v>80</v>
      </c>
    </row>
    <row r="901" spans="1:15" x14ac:dyDescent="0.25">
      <c r="A901" s="123" t="s">
        <v>4696</v>
      </c>
      <c r="B901" s="124">
        <v>0</v>
      </c>
      <c r="C901" s="125" t="s">
        <v>93</v>
      </c>
      <c r="D901" s="125" t="s">
        <v>1927</v>
      </c>
      <c r="E901" s="126" t="s">
        <v>2139</v>
      </c>
      <c r="F901" s="125" t="s">
        <v>2187</v>
      </c>
      <c r="G901" s="125" t="s">
        <v>277</v>
      </c>
      <c r="H901" s="125" t="s">
        <v>278</v>
      </c>
      <c r="I901" s="125" t="s">
        <v>2320</v>
      </c>
      <c r="J901" s="127"/>
      <c r="K901" s="124">
        <v>1</v>
      </c>
      <c r="L901" s="124" t="s">
        <v>605</v>
      </c>
      <c r="M901" s="125" t="s">
        <v>91</v>
      </c>
      <c r="N901" s="123" t="s">
        <v>80</v>
      </c>
      <c r="O901" s="123"/>
    </row>
    <row r="902" spans="1:15" x14ac:dyDescent="0.25">
      <c r="A902" s="123" t="s">
        <v>4696</v>
      </c>
      <c r="B902" s="124">
        <v>1</v>
      </c>
      <c r="C902" s="125" t="s">
        <v>4144</v>
      </c>
      <c r="D902" s="125" t="s">
        <v>6776</v>
      </c>
      <c r="E902" s="126"/>
      <c r="F902" s="125"/>
      <c r="G902" s="125"/>
      <c r="H902" s="125"/>
      <c r="I902" s="125"/>
      <c r="J902" s="127"/>
      <c r="K902" s="124"/>
      <c r="L902" s="124" t="s">
        <v>605</v>
      </c>
      <c r="M902" s="125" t="s">
        <v>91</v>
      </c>
      <c r="N902" s="123" t="s">
        <v>80</v>
      </c>
      <c r="O902" s="123"/>
    </row>
    <row r="903" spans="1:15" x14ac:dyDescent="0.25">
      <c r="A903" s="143" t="s">
        <v>4696</v>
      </c>
      <c r="B903" s="114">
        <v>2</v>
      </c>
      <c r="C903" t="s">
        <v>4145</v>
      </c>
      <c r="D903" s="91" t="s">
        <v>6775</v>
      </c>
      <c r="G903" s="91" t="s">
        <v>465</v>
      </c>
      <c r="H903" s="91" t="s">
        <v>5084</v>
      </c>
      <c r="L903" s="13" t="s">
        <v>605</v>
      </c>
      <c r="M903" t="s">
        <v>100</v>
      </c>
      <c r="N903" t="s">
        <v>80</v>
      </c>
    </row>
    <row r="904" spans="1:15" x14ac:dyDescent="0.25">
      <c r="A904" s="123" t="s">
        <v>4696</v>
      </c>
      <c r="B904" s="124">
        <v>3</v>
      </c>
      <c r="C904" s="125" t="s">
        <v>6443</v>
      </c>
      <c r="D904" s="125" t="s">
        <v>6746</v>
      </c>
      <c r="E904" s="126"/>
      <c r="F904" s="125"/>
      <c r="G904" s="125"/>
      <c r="H904" s="125"/>
      <c r="I904" s="125"/>
      <c r="J904" s="127"/>
      <c r="K904" s="124"/>
      <c r="L904" s="128" t="s">
        <v>605</v>
      </c>
      <c r="M904" s="62" t="s">
        <v>91</v>
      </c>
      <c r="N904" s="123" t="s">
        <v>80</v>
      </c>
      <c r="O904" s="123"/>
    </row>
    <row r="905" spans="1:15" x14ac:dyDescent="0.25">
      <c r="A905" s="123" t="s">
        <v>4696</v>
      </c>
      <c r="B905" s="124">
        <v>4</v>
      </c>
      <c r="C905" s="125" t="s">
        <v>116</v>
      </c>
      <c r="D905" s="127" t="s">
        <v>6747</v>
      </c>
      <c r="E905" s="126"/>
      <c r="F905" s="125"/>
      <c r="G905" s="125"/>
      <c r="H905" s="125"/>
      <c r="I905" s="125"/>
      <c r="J905" s="127"/>
      <c r="K905" s="124"/>
      <c r="L905" s="128" t="s">
        <v>605</v>
      </c>
      <c r="M905" s="125" t="s">
        <v>100</v>
      </c>
      <c r="N905" s="123" t="s">
        <v>80</v>
      </c>
      <c r="O905" s="123"/>
    </row>
    <row r="906" spans="1:15" x14ac:dyDescent="0.25">
      <c r="A906" s="123" t="s">
        <v>4696</v>
      </c>
      <c r="B906" s="124">
        <v>5</v>
      </c>
      <c r="C906" s="125" t="s">
        <v>267</v>
      </c>
      <c r="D906" s="125" t="s">
        <v>6496</v>
      </c>
      <c r="E906" s="126" t="s">
        <v>1602</v>
      </c>
      <c r="F906" s="125" t="s">
        <v>2232</v>
      </c>
      <c r="G906" s="125" t="s">
        <v>480</v>
      </c>
      <c r="H906" s="125" t="s">
        <v>481</v>
      </c>
      <c r="I906" s="125" t="s">
        <v>2232</v>
      </c>
      <c r="J906" s="127"/>
      <c r="K906" s="124">
        <v>0</v>
      </c>
      <c r="L906" s="128" t="s">
        <v>605</v>
      </c>
      <c r="M906" s="125" t="s">
        <v>153</v>
      </c>
      <c r="N906" s="123" t="s">
        <v>80</v>
      </c>
      <c r="O906" s="123"/>
    </row>
    <row r="907" spans="1:15" x14ac:dyDescent="0.25">
      <c r="A907" s="123" t="s">
        <v>4696</v>
      </c>
      <c r="B907" s="124">
        <v>6</v>
      </c>
      <c r="C907" s="125" t="s">
        <v>6946</v>
      </c>
      <c r="D907" s="127" t="s">
        <v>6778</v>
      </c>
      <c r="E907" s="126"/>
      <c r="F907" s="125"/>
      <c r="G907" s="125"/>
      <c r="H907" s="125"/>
      <c r="I907" s="125"/>
      <c r="J907" s="127"/>
      <c r="K907" s="124"/>
      <c r="L907" s="128" t="s">
        <v>605</v>
      </c>
      <c r="M907" s="125" t="s">
        <v>100</v>
      </c>
      <c r="N907" s="123" t="s">
        <v>80</v>
      </c>
      <c r="O907" s="123"/>
    </row>
    <row r="908" spans="1:15" x14ac:dyDescent="0.25">
      <c r="A908" s="143" t="s">
        <v>4696</v>
      </c>
      <c r="B908" s="114"/>
      <c r="C908" t="s">
        <v>4705</v>
      </c>
      <c r="D908" s="91"/>
      <c r="G908" s="91" t="s">
        <v>6204</v>
      </c>
      <c r="H908" s="91" t="s">
        <v>6205</v>
      </c>
      <c r="L908" s="13">
        <v>0</v>
      </c>
      <c r="M908" t="s">
        <v>235</v>
      </c>
      <c r="N908" t="s">
        <v>80</v>
      </c>
    </row>
    <row r="909" spans="1:15" x14ac:dyDescent="0.25">
      <c r="A909" s="143" t="s">
        <v>4696</v>
      </c>
      <c r="B909" s="114"/>
      <c r="C909" t="s">
        <v>4699</v>
      </c>
      <c r="D909" s="91"/>
      <c r="G909" s="95" t="s">
        <v>6192</v>
      </c>
      <c r="H909" s="91" t="s">
        <v>6193</v>
      </c>
      <c r="L909" s="13">
        <v>0</v>
      </c>
      <c r="M909" t="s">
        <v>6390</v>
      </c>
      <c r="N909" t="s">
        <v>80</v>
      </c>
    </row>
    <row r="910" spans="1:15" x14ac:dyDescent="0.25">
      <c r="A910" s="143" t="s">
        <v>4696</v>
      </c>
      <c r="B910" s="114"/>
      <c r="C910" t="s">
        <v>4697</v>
      </c>
      <c r="D910" s="91"/>
      <c r="G910" s="95" t="s">
        <v>6188</v>
      </c>
      <c r="H910" s="91" t="s">
        <v>6189</v>
      </c>
      <c r="L910" s="13">
        <v>0</v>
      </c>
      <c r="M910" t="s">
        <v>6390</v>
      </c>
      <c r="N910" t="s">
        <v>80</v>
      </c>
    </row>
    <row r="911" spans="1:15" x14ac:dyDescent="0.25">
      <c r="A911" s="143" t="s">
        <v>4696</v>
      </c>
      <c r="B911" s="114"/>
      <c r="C911" t="s">
        <v>4698</v>
      </c>
      <c r="D911" s="91"/>
      <c r="G911" s="95" t="s">
        <v>6190</v>
      </c>
      <c r="H911" s="91" t="s">
        <v>6191</v>
      </c>
      <c r="L911" s="13">
        <v>0</v>
      </c>
      <c r="M911" t="s">
        <v>6390</v>
      </c>
      <c r="N911" t="s">
        <v>80</v>
      </c>
    </row>
    <row r="912" spans="1:15" x14ac:dyDescent="0.25">
      <c r="A912" s="143" t="s">
        <v>4696</v>
      </c>
      <c r="B912" s="114"/>
      <c r="C912" t="s">
        <v>4700</v>
      </c>
      <c r="D912" s="91"/>
      <c r="G912" s="95" t="s">
        <v>6194</v>
      </c>
      <c r="H912" s="91" t="s">
        <v>6195</v>
      </c>
      <c r="L912" s="13">
        <v>0</v>
      </c>
      <c r="M912" t="s">
        <v>6390</v>
      </c>
      <c r="N912" t="s">
        <v>80</v>
      </c>
    </row>
    <row r="913" spans="1:15" x14ac:dyDescent="0.25">
      <c r="A913" s="143" t="s">
        <v>4696</v>
      </c>
      <c r="B913" s="114"/>
      <c r="C913" t="s">
        <v>4701</v>
      </c>
      <c r="D913" s="91"/>
      <c r="G913" s="95" t="s">
        <v>6196</v>
      </c>
      <c r="H913" s="91" t="s">
        <v>6197</v>
      </c>
      <c r="L913" s="13">
        <v>0</v>
      </c>
      <c r="M913" t="s">
        <v>6390</v>
      </c>
      <c r="N913" t="s">
        <v>80</v>
      </c>
    </row>
    <row r="914" spans="1:15" x14ac:dyDescent="0.25">
      <c r="A914" s="143" t="s">
        <v>4696</v>
      </c>
      <c r="B914" s="114"/>
      <c r="C914" t="s">
        <v>4703</v>
      </c>
      <c r="D914" s="91"/>
      <c r="G914" s="91" t="s">
        <v>6200</v>
      </c>
      <c r="H914" s="91" t="s">
        <v>6201</v>
      </c>
      <c r="L914" s="13">
        <v>0</v>
      </c>
      <c r="M914" t="s">
        <v>195</v>
      </c>
      <c r="N914" t="s">
        <v>80</v>
      </c>
    </row>
    <row r="915" spans="1:15" x14ac:dyDescent="0.25">
      <c r="A915" s="143" t="s">
        <v>4696</v>
      </c>
      <c r="B915" s="114"/>
      <c r="C915" t="s">
        <v>4704</v>
      </c>
      <c r="D915" s="91"/>
      <c r="G915" s="91" t="s">
        <v>6202</v>
      </c>
      <c r="H915" s="91" t="s">
        <v>6203</v>
      </c>
      <c r="L915" s="13">
        <v>0</v>
      </c>
      <c r="M915" t="s">
        <v>195</v>
      </c>
      <c r="N915" t="s">
        <v>80</v>
      </c>
    </row>
    <row r="916" spans="1:15" x14ac:dyDescent="0.25">
      <c r="A916" s="143" t="s">
        <v>4696</v>
      </c>
      <c r="B916" s="114"/>
      <c r="C916" t="s">
        <v>4702</v>
      </c>
      <c r="D916" s="91"/>
      <c r="G916" s="91" t="s">
        <v>6198</v>
      </c>
      <c r="H916" s="91" t="s">
        <v>6199</v>
      </c>
      <c r="L916" s="13">
        <v>0</v>
      </c>
      <c r="M916" t="s">
        <v>195</v>
      </c>
      <c r="N916" t="s">
        <v>80</v>
      </c>
    </row>
    <row r="917" spans="1:15" x14ac:dyDescent="0.25">
      <c r="A917" s="143" t="s">
        <v>4696</v>
      </c>
      <c r="B917" s="114"/>
      <c r="C917" t="s">
        <v>4708</v>
      </c>
      <c r="D917" s="91"/>
      <c r="G917" s="91" t="s">
        <v>6210</v>
      </c>
      <c r="H917" s="91" t="s">
        <v>6211</v>
      </c>
      <c r="L917" s="13">
        <v>0</v>
      </c>
      <c r="M917" t="s">
        <v>6391</v>
      </c>
      <c r="N917" t="s">
        <v>80</v>
      </c>
    </row>
    <row r="918" spans="1:15" x14ac:dyDescent="0.25">
      <c r="A918" s="143" t="s">
        <v>4696</v>
      </c>
      <c r="B918" s="114"/>
      <c r="C918" t="s">
        <v>4709</v>
      </c>
      <c r="D918" s="91"/>
      <c r="G918" s="91" t="s">
        <v>6212</v>
      </c>
      <c r="H918" s="91" t="s">
        <v>6213</v>
      </c>
      <c r="L918" s="13">
        <v>0</v>
      </c>
      <c r="M918" t="s">
        <v>6379</v>
      </c>
      <c r="N918" t="s">
        <v>80</v>
      </c>
    </row>
    <row r="919" spans="1:15" x14ac:dyDescent="0.25">
      <c r="A919" s="143" t="s">
        <v>4696</v>
      </c>
      <c r="B919" s="114"/>
      <c r="C919" t="s">
        <v>4707</v>
      </c>
      <c r="D919" s="91"/>
      <c r="G919" s="91" t="s">
        <v>6208</v>
      </c>
      <c r="H919" s="91" t="s">
        <v>6209</v>
      </c>
      <c r="L919" s="13">
        <v>0</v>
      </c>
      <c r="M919" t="s">
        <v>6373</v>
      </c>
      <c r="N919" t="s">
        <v>80</v>
      </c>
    </row>
    <row r="920" spans="1:15" s="123" customFormat="1" x14ac:dyDescent="0.25">
      <c r="A920" s="143" t="s">
        <v>4696</v>
      </c>
      <c r="B920" s="114"/>
      <c r="C920" t="s">
        <v>4710</v>
      </c>
      <c r="D920" s="91"/>
      <c r="E920"/>
      <c r="F920"/>
      <c r="G920" s="91" t="s">
        <v>6214</v>
      </c>
      <c r="H920" s="91" t="s">
        <v>6215</v>
      </c>
      <c r="I920"/>
      <c r="J920"/>
      <c r="K920"/>
      <c r="L920" s="13">
        <v>0</v>
      </c>
      <c r="M920" t="s">
        <v>165</v>
      </c>
      <c r="N920" t="s">
        <v>80</v>
      </c>
      <c r="O920"/>
    </row>
    <row r="921" spans="1:15" x14ac:dyDescent="0.25">
      <c r="A921" s="143" t="s">
        <v>4696</v>
      </c>
      <c r="B921" s="114"/>
      <c r="C921" t="s">
        <v>4706</v>
      </c>
      <c r="D921" s="91"/>
      <c r="G921" s="91" t="s">
        <v>6206</v>
      </c>
      <c r="H921" s="91" t="s">
        <v>6207</v>
      </c>
      <c r="L921" s="13">
        <v>0</v>
      </c>
      <c r="M921" t="s">
        <v>235</v>
      </c>
      <c r="N921" t="s">
        <v>80</v>
      </c>
    </row>
    <row r="922" spans="1:15" x14ac:dyDescent="0.25">
      <c r="A922" s="123" t="s">
        <v>4722</v>
      </c>
      <c r="B922" s="124">
        <v>0</v>
      </c>
      <c r="C922" s="125" t="s">
        <v>93</v>
      </c>
      <c r="D922" s="125" t="s">
        <v>1927</v>
      </c>
      <c r="E922" s="126" t="s">
        <v>2139</v>
      </c>
      <c r="F922" s="125" t="s">
        <v>2187</v>
      </c>
      <c r="G922" s="125" t="s">
        <v>277</v>
      </c>
      <c r="H922" s="125" t="s">
        <v>278</v>
      </c>
      <c r="I922" s="125" t="s">
        <v>2320</v>
      </c>
      <c r="J922" s="127"/>
      <c r="K922" s="124">
        <v>1</v>
      </c>
      <c r="L922" s="124" t="s">
        <v>605</v>
      </c>
      <c r="M922" s="125" t="s">
        <v>91</v>
      </c>
      <c r="N922" s="123" t="s">
        <v>80</v>
      </c>
      <c r="O922" s="123"/>
    </row>
    <row r="923" spans="1:15" x14ac:dyDescent="0.25">
      <c r="A923" s="123" t="s">
        <v>4722</v>
      </c>
      <c r="B923" s="124">
        <v>1</v>
      </c>
      <c r="C923" s="125" t="s">
        <v>4144</v>
      </c>
      <c r="D923" s="125" t="s">
        <v>6776</v>
      </c>
      <c r="E923" s="126"/>
      <c r="F923" s="125"/>
      <c r="G923" s="125"/>
      <c r="H923" s="125"/>
      <c r="I923" s="125"/>
      <c r="J923" s="127"/>
      <c r="K923" s="124"/>
      <c r="L923" s="124" t="s">
        <v>605</v>
      </c>
      <c r="M923" s="125" t="s">
        <v>91</v>
      </c>
      <c r="N923" s="123" t="s">
        <v>80</v>
      </c>
      <c r="O923" s="123"/>
    </row>
    <row r="924" spans="1:15" x14ac:dyDescent="0.25">
      <c r="A924" s="143" t="s">
        <v>4722</v>
      </c>
      <c r="B924" s="114">
        <v>2</v>
      </c>
      <c r="C924" t="s">
        <v>4145</v>
      </c>
      <c r="D924" s="91" t="s">
        <v>6775</v>
      </c>
      <c r="G924" s="91" t="s">
        <v>465</v>
      </c>
      <c r="H924" s="91" t="s">
        <v>5084</v>
      </c>
      <c r="L924" s="13" t="s">
        <v>605</v>
      </c>
      <c r="M924" t="s">
        <v>100</v>
      </c>
      <c r="N924" t="s">
        <v>80</v>
      </c>
    </row>
    <row r="925" spans="1:15" x14ac:dyDescent="0.25">
      <c r="A925" s="123" t="s">
        <v>4722</v>
      </c>
      <c r="B925" s="124">
        <v>3</v>
      </c>
      <c r="C925" s="125" t="s">
        <v>6443</v>
      </c>
      <c r="D925" s="125" t="s">
        <v>6746</v>
      </c>
      <c r="E925" s="126"/>
      <c r="F925" s="125"/>
      <c r="G925" s="125"/>
      <c r="H925" s="125"/>
      <c r="I925" s="125"/>
      <c r="J925" s="127"/>
      <c r="K925" s="124"/>
      <c r="L925" s="128" t="s">
        <v>605</v>
      </c>
      <c r="M925" s="62" t="s">
        <v>91</v>
      </c>
      <c r="N925" s="123" t="s">
        <v>80</v>
      </c>
      <c r="O925" s="123"/>
    </row>
    <row r="926" spans="1:15" x14ac:dyDescent="0.25">
      <c r="A926" s="123" t="s">
        <v>4722</v>
      </c>
      <c r="B926" s="124">
        <v>4</v>
      </c>
      <c r="C926" s="125" t="s">
        <v>116</v>
      </c>
      <c r="D926" s="127" t="s">
        <v>6747</v>
      </c>
      <c r="E926" s="126"/>
      <c r="F926" s="125"/>
      <c r="G926" s="125"/>
      <c r="H926" s="125"/>
      <c r="I926" s="125"/>
      <c r="J926" s="127"/>
      <c r="K926" s="124"/>
      <c r="L926" s="128" t="s">
        <v>605</v>
      </c>
      <c r="M926" s="125" t="s">
        <v>100</v>
      </c>
      <c r="N926" s="123" t="s">
        <v>80</v>
      </c>
      <c r="O926" s="123"/>
    </row>
    <row r="927" spans="1:15" x14ac:dyDescent="0.25">
      <c r="A927" s="123" t="s">
        <v>4722</v>
      </c>
      <c r="B927" s="124">
        <v>5</v>
      </c>
      <c r="C927" s="125" t="s">
        <v>267</v>
      </c>
      <c r="D927" s="125" t="s">
        <v>6496</v>
      </c>
      <c r="E927" s="126" t="s">
        <v>1602</v>
      </c>
      <c r="F927" s="125" t="s">
        <v>2232</v>
      </c>
      <c r="G927" s="125" t="s">
        <v>480</v>
      </c>
      <c r="H927" s="125" t="s">
        <v>481</v>
      </c>
      <c r="I927" s="125" t="s">
        <v>2232</v>
      </c>
      <c r="J927" s="127"/>
      <c r="K927" s="124">
        <v>0</v>
      </c>
      <c r="L927" s="128" t="s">
        <v>605</v>
      </c>
      <c r="M927" s="125" t="s">
        <v>153</v>
      </c>
      <c r="N927" s="123" t="s">
        <v>80</v>
      </c>
      <c r="O927" s="123"/>
    </row>
    <row r="928" spans="1:15" x14ac:dyDescent="0.25">
      <c r="A928" s="123" t="s">
        <v>4722</v>
      </c>
      <c r="B928" s="124">
        <v>6</v>
      </c>
      <c r="C928" s="125" t="s">
        <v>6946</v>
      </c>
      <c r="D928" s="127" t="s">
        <v>6778</v>
      </c>
      <c r="E928" s="126"/>
      <c r="F928" s="125"/>
      <c r="G928" s="125"/>
      <c r="H928" s="125"/>
      <c r="I928" s="125"/>
      <c r="J928" s="127"/>
      <c r="K928" s="124"/>
      <c r="L928" s="128" t="s">
        <v>605</v>
      </c>
      <c r="M928" s="125" t="s">
        <v>100</v>
      </c>
      <c r="N928" s="123" t="s">
        <v>80</v>
      </c>
      <c r="O928" s="123"/>
    </row>
    <row r="929" spans="1:15" x14ac:dyDescent="0.25">
      <c r="A929" s="143" t="s">
        <v>4722</v>
      </c>
      <c r="B929" s="114"/>
      <c r="C929" t="s">
        <v>4723</v>
      </c>
      <c r="D929" s="91"/>
      <c r="G929" s="91" t="s">
        <v>6236</v>
      </c>
      <c r="H929" s="91" t="s">
        <v>6237</v>
      </c>
      <c r="L929" s="13">
        <v>0</v>
      </c>
      <c r="M929" t="s">
        <v>3006</v>
      </c>
      <c r="N929" t="s">
        <v>80</v>
      </c>
    </row>
    <row r="930" spans="1:15" x14ac:dyDescent="0.25">
      <c r="A930" s="143" t="s">
        <v>4722</v>
      </c>
      <c r="B930" s="114"/>
      <c r="C930" t="s">
        <v>4724</v>
      </c>
      <c r="G930" s="91" t="s">
        <v>6238</v>
      </c>
      <c r="H930" s="91" t="s">
        <v>6239</v>
      </c>
      <c r="L930" s="13">
        <v>0</v>
      </c>
      <c r="M930" t="s">
        <v>262</v>
      </c>
      <c r="N930" t="s">
        <v>80</v>
      </c>
    </row>
    <row r="931" spans="1:15" x14ac:dyDescent="0.25">
      <c r="A931" s="143" t="s">
        <v>4722</v>
      </c>
      <c r="B931" s="114"/>
      <c r="C931" t="s">
        <v>4726</v>
      </c>
      <c r="D931" s="91"/>
      <c r="G931" s="91" t="s">
        <v>6242</v>
      </c>
      <c r="H931" s="91" t="s">
        <v>6243</v>
      </c>
      <c r="L931" s="13">
        <v>0</v>
      </c>
      <c r="M931" t="s">
        <v>6377</v>
      </c>
      <c r="N931" t="s">
        <v>80</v>
      </c>
    </row>
    <row r="932" spans="1:15" x14ac:dyDescent="0.25">
      <c r="A932" s="143" t="s">
        <v>4722</v>
      </c>
      <c r="B932" s="114"/>
      <c r="C932" t="s">
        <v>4731</v>
      </c>
      <c r="D932" s="91"/>
      <c r="G932" s="91" t="s">
        <v>6252</v>
      </c>
      <c r="H932" s="91" t="s">
        <v>6253</v>
      </c>
      <c r="L932" s="13">
        <v>0</v>
      </c>
      <c r="M932" t="s">
        <v>165</v>
      </c>
      <c r="N932" t="s">
        <v>80</v>
      </c>
    </row>
    <row r="933" spans="1:15" x14ac:dyDescent="0.25">
      <c r="A933" s="143" t="s">
        <v>4722</v>
      </c>
      <c r="B933" s="114"/>
      <c r="C933" t="s">
        <v>4735</v>
      </c>
      <c r="D933" s="91"/>
      <c r="G933" s="91" t="s">
        <v>6260</v>
      </c>
      <c r="H933" s="91" t="s">
        <v>6261</v>
      </c>
      <c r="L933" s="13">
        <v>0</v>
      </c>
      <c r="M933" t="s">
        <v>100</v>
      </c>
      <c r="N933" t="s">
        <v>80</v>
      </c>
    </row>
    <row r="934" spans="1:15" x14ac:dyDescent="0.25">
      <c r="A934" s="143" t="s">
        <v>4722</v>
      </c>
      <c r="B934" s="114"/>
      <c r="C934" t="s">
        <v>4736</v>
      </c>
      <c r="D934" s="91"/>
      <c r="G934" s="91" t="s">
        <v>6262</v>
      </c>
      <c r="H934" s="91" t="s">
        <v>6263</v>
      </c>
      <c r="L934" s="13">
        <v>0</v>
      </c>
      <c r="M934" t="s">
        <v>100</v>
      </c>
      <c r="N934" t="s">
        <v>80</v>
      </c>
    </row>
    <row r="935" spans="1:15" x14ac:dyDescent="0.25">
      <c r="A935" s="143" t="s">
        <v>4722</v>
      </c>
      <c r="B935" s="114"/>
      <c r="C935" t="s">
        <v>4737</v>
      </c>
      <c r="D935" s="91"/>
      <c r="G935" s="91" t="s">
        <v>6264</v>
      </c>
      <c r="H935" s="91" t="s">
        <v>6265</v>
      </c>
      <c r="L935" s="13">
        <v>0</v>
      </c>
      <c r="M935" t="s">
        <v>100</v>
      </c>
      <c r="N935" t="s">
        <v>80</v>
      </c>
    </row>
    <row r="936" spans="1:15" x14ac:dyDescent="0.25">
      <c r="A936" s="143" t="s">
        <v>4722</v>
      </c>
      <c r="B936" s="114"/>
      <c r="C936" t="s">
        <v>4734</v>
      </c>
      <c r="D936" s="91"/>
      <c r="G936" s="91" t="s">
        <v>6258</v>
      </c>
      <c r="H936" s="91" t="s">
        <v>6259</v>
      </c>
      <c r="L936" s="13">
        <v>0</v>
      </c>
      <c r="M936" t="s">
        <v>100</v>
      </c>
      <c r="N936" t="s">
        <v>80</v>
      </c>
    </row>
    <row r="937" spans="1:15" x14ac:dyDescent="0.25">
      <c r="A937" s="143" t="s">
        <v>4722</v>
      </c>
      <c r="B937" s="114"/>
      <c r="C937" t="s">
        <v>4738</v>
      </c>
      <c r="D937" s="91"/>
      <c r="G937" s="91" t="s">
        <v>6266</v>
      </c>
      <c r="H937" s="91" t="s">
        <v>6267</v>
      </c>
      <c r="L937" s="13">
        <v>0</v>
      </c>
      <c r="M937" t="s">
        <v>100</v>
      </c>
      <c r="N937" t="s">
        <v>80</v>
      </c>
    </row>
    <row r="938" spans="1:15" x14ac:dyDescent="0.25">
      <c r="A938" s="143" t="s">
        <v>4722</v>
      </c>
      <c r="B938" s="114"/>
      <c r="C938" t="s">
        <v>4725</v>
      </c>
      <c r="G938" s="91" t="s">
        <v>6240</v>
      </c>
      <c r="H938" s="91" t="s">
        <v>6241</v>
      </c>
      <c r="L938" s="13">
        <v>0</v>
      </c>
      <c r="M938" t="s">
        <v>262</v>
      </c>
      <c r="N938" t="s">
        <v>80</v>
      </c>
    </row>
    <row r="939" spans="1:15" x14ac:dyDescent="0.25">
      <c r="A939" s="143" t="s">
        <v>4722</v>
      </c>
      <c r="B939" s="114"/>
      <c r="C939" t="s">
        <v>4730</v>
      </c>
      <c r="D939" s="91"/>
      <c r="G939" s="91" t="s">
        <v>6250</v>
      </c>
      <c r="H939" s="91" t="s">
        <v>6251</v>
      </c>
      <c r="L939" s="13">
        <v>0</v>
      </c>
      <c r="M939" t="s">
        <v>6387</v>
      </c>
      <c r="N939" t="s">
        <v>80</v>
      </c>
    </row>
    <row r="940" spans="1:15" x14ac:dyDescent="0.25">
      <c r="A940" s="143" t="s">
        <v>4722</v>
      </c>
      <c r="B940" s="114"/>
      <c r="C940" t="s">
        <v>4728</v>
      </c>
      <c r="D940" s="91"/>
      <c r="G940" s="91" t="s">
        <v>6246</v>
      </c>
      <c r="H940" s="91" t="s">
        <v>6247</v>
      </c>
      <c r="L940" s="13">
        <v>0</v>
      </c>
      <c r="M940" t="s">
        <v>6387</v>
      </c>
      <c r="N940" t="s">
        <v>80</v>
      </c>
    </row>
    <row r="941" spans="1:15" s="123" customFormat="1" x14ac:dyDescent="0.25">
      <c r="A941" s="143" t="s">
        <v>4722</v>
      </c>
      <c r="B941" s="114"/>
      <c r="C941" t="s">
        <v>4729</v>
      </c>
      <c r="D941" s="91"/>
      <c r="E941"/>
      <c r="F941"/>
      <c r="G941" s="91" t="s">
        <v>6248</v>
      </c>
      <c r="H941" s="91" t="s">
        <v>6249</v>
      </c>
      <c r="I941"/>
      <c r="J941"/>
      <c r="K941"/>
      <c r="L941" s="13">
        <v>0</v>
      </c>
      <c r="M941" t="s">
        <v>6387</v>
      </c>
      <c r="N941" t="s">
        <v>80</v>
      </c>
      <c r="O941"/>
    </row>
    <row r="942" spans="1:15" x14ac:dyDescent="0.25">
      <c r="A942" s="143" t="s">
        <v>4722</v>
      </c>
      <c r="B942" s="114"/>
      <c r="C942" t="s">
        <v>4732</v>
      </c>
      <c r="D942" s="91"/>
      <c r="G942" s="91" t="s">
        <v>6254</v>
      </c>
      <c r="H942" s="91" t="s">
        <v>6255</v>
      </c>
      <c r="L942" s="13">
        <v>0</v>
      </c>
      <c r="M942" t="s">
        <v>6349</v>
      </c>
      <c r="N942" t="s">
        <v>80</v>
      </c>
    </row>
    <row r="943" spans="1:15" x14ac:dyDescent="0.25">
      <c r="A943" s="143" t="s">
        <v>4722</v>
      </c>
      <c r="B943" s="114"/>
      <c r="C943" t="s">
        <v>4733</v>
      </c>
      <c r="D943" s="91"/>
      <c r="G943" s="91" t="s">
        <v>6256</v>
      </c>
      <c r="H943" s="91" t="s">
        <v>6257</v>
      </c>
      <c r="L943" s="13">
        <v>0</v>
      </c>
      <c r="M943" t="s">
        <v>6349</v>
      </c>
      <c r="N943" t="s">
        <v>80</v>
      </c>
    </row>
    <row r="944" spans="1:15" x14ac:dyDescent="0.25">
      <c r="A944" s="143" t="s">
        <v>4722</v>
      </c>
      <c r="B944" s="114"/>
      <c r="C944" t="s">
        <v>4727</v>
      </c>
      <c r="D944" s="91"/>
      <c r="G944" s="91" t="s">
        <v>6244</v>
      </c>
      <c r="H944" s="91" t="s">
        <v>6245</v>
      </c>
      <c r="L944" s="13">
        <v>0</v>
      </c>
      <c r="M944" t="s">
        <v>6377</v>
      </c>
      <c r="N944" t="s">
        <v>80</v>
      </c>
    </row>
    <row r="945" spans="1:15" x14ac:dyDescent="0.25">
      <c r="A945" s="123" t="s">
        <v>4330</v>
      </c>
      <c r="B945" s="124">
        <v>0</v>
      </c>
      <c r="C945" s="125" t="s">
        <v>93</v>
      </c>
      <c r="D945" s="125" t="s">
        <v>1927</v>
      </c>
      <c r="E945" s="126" t="s">
        <v>2139</v>
      </c>
      <c r="F945" s="125" t="s">
        <v>2187</v>
      </c>
      <c r="G945" s="125" t="s">
        <v>277</v>
      </c>
      <c r="H945" s="125" t="s">
        <v>278</v>
      </c>
      <c r="I945" s="125" t="s">
        <v>2320</v>
      </c>
      <c r="J945" s="127"/>
      <c r="K945" s="124">
        <v>1</v>
      </c>
      <c r="L945" s="124" t="s">
        <v>605</v>
      </c>
      <c r="M945" s="125" t="s">
        <v>91</v>
      </c>
      <c r="N945" s="123" t="s">
        <v>80</v>
      </c>
      <c r="O945" s="123"/>
    </row>
    <row r="946" spans="1:15" x14ac:dyDescent="0.25">
      <c r="A946" s="123" t="s">
        <v>4330</v>
      </c>
      <c r="B946" s="124">
        <v>1</v>
      </c>
      <c r="C946" s="125" t="s">
        <v>4144</v>
      </c>
      <c r="D946" s="125" t="s">
        <v>6776</v>
      </c>
      <c r="E946" s="126"/>
      <c r="F946" s="125"/>
      <c r="G946" s="125"/>
      <c r="H946" s="125"/>
      <c r="I946" s="125"/>
      <c r="J946" s="127"/>
      <c r="K946" s="124"/>
      <c r="L946" s="124" t="s">
        <v>605</v>
      </c>
      <c r="M946" s="125" t="s">
        <v>91</v>
      </c>
      <c r="N946" s="123" t="s">
        <v>80</v>
      </c>
      <c r="O946" s="123"/>
    </row>
    <row r="947" spans="1:15" x14ac:dyDescent="0.25">
      <c r="A947" s="143" t="s">
        <v>4330</v>
      </c>
      <c r="B947" s="115">
        <v>2</v>
      </c>
      <c r="C947" t="s">
        <v>4145</v>
      </c>
      <c r="D947" s="91" t="s">
        <v>6775</v>
      </c>
      <c r="G947" s="91" t="s">
        <v>465</v>
      </c>
      <c r="H947" s="91" t="s">
        <v>5084</v>
      </c>
      <c r="L947" s="13" t="s">
        <v>605</v>
      </c>
      <c r="M947" s="61" t="s">
        <v>100</v>
      </c>
      <c r="N947" t="s">
        <v>80</v>
      </c>
    </row>
    <row r="948" spans="1:15" x14ac:dyDescent="0.25">
      <c r="A948" s="123" t="s">
        <v>4330</v>
      </c>
      <c r="B948" s="124">
        <v>3</v>
      </c>
      <c r="C948" s="125" t="s">
        <v>6443</v>
      </c>
      <c r="D948" s="125" t="s">
        <v>6746</v>
      </c>
      <c r="E948" s="126"/>
      <c r="F948" s="125"/>
      <c r="G948" s="125"/>
      <c r="H948" s="125"/>
      <c r="I948" s="125"/>
      <c r="J948" s="127"/>
      <c r="K948" s="124"/>
      <c r="L948" s="128" t="s">
        <v>605</v>
      </c>
      <c r="M948" s="62" t="s">
        <v>91</v>
      </c>
      <c r="N948" s="123" t="s">
        <v>80</v>
      </c>
      <c r="O948" s="123"/>
    </row>
    <row r="949" spans="1:15" x14ac:dyDescent="0.25">
      <c r="A949" s="123" t="s">
        <v>4330</v>
      </c>
      <c r="B949" s="124">
        <v>4</v>
      </c>
      <c r="C949" s="125" t="s">
        <v>116</v>
      </c>
      <c r="D949" s="127" t="s">
        <v>6747</v>
      </c>
      <c r="E949" s="126"/>
      <c r="F949" s="125"/>
      <c r="G949" s="125"/>
      <c r="H949" s="125"/>
      <c r="I949" s="125"/>
      <c r="J949" s="127"/>
      <c r="K949" s="124"/>
      <c r="L949" s="128" t="s">
        <v>605</v>
      </c>
      <c r="M949" s="125" t="s">
        <v>100</v>
      </c>
      <c r="N949" s="123" t="s">
        <v>80</v>
      </c>
      <c r="O949" s="123"/>
    </row>
    <row r="950" spans="1:15" x14ac:dyDescent="0.25">
      <c r="A950" s="143" t="s">
        <v>4330</v>
      </c>
      <c r="B950" s="114">
        <v>5</v>
      </c>
      <c r="C950" t="s">
        <v>267</v>
      </c>
      <c r="D950" s="91" t="s">
        <v>6496</v>
      </c>
      <c r="E950" t="s">
        <v>1602</v>
      </c>
      <c r="F950" t="s">
        <v>2232</v>
      </c>
      <c r="G950" s="94" t="s">
        <v>480</v>
      </c>
      <c r="H950" s="94" t="s">
        <v>481</v>
      </c>
      <c r="I950" t="s">
        <v>2232</v>
      </c>
      <c r="K950">
        <v>0</v>
      </c>
      <c r="L950" s="13" t="s">
        <v>605</v>
      </c>
      <c r="M950" t="s">
        <v>153</v>
      </c>
      <c r="N950" t="s">
        <v>80</v>
      </c>
    </row>
    <row r="951" spans="1:15" x14ac:dyDescent="0.25">
      <c r="A951" s="123" t="s">
        <v>4330</v>
      </c>
      <c r="B951" s="124">
        <v>6</v>
      </c>
      <c r="C951" s="125" t="s">
        <v>6946</v>
      </c>
      <c r="D951" s="127" t="s">
        <v>6778</v>
      </c>
      <c r="E951" s="126"/>
      <c r="F951" s="125"/>
      <c r="G951" s="125"/>
      <c r="H951" s="125"/>
      <c r="I951" s="125"/>
      <c r="J951" s="127"/>
      <c r="K951" s="124"/>
      <c r="L951" s="128" t="s">
        <v>605</v>
      </c>
      <c r="M951" s="125" t="s">
        <v>100</v>
      </c>
      <c r="N951" s="123" t="s">
        <v>80</v>
      </c>
      <c r="O951" s="123"/>
    </row>
    <row r="952" spans="1:15" s="37" customFormat="1" x14ac:dyDescent="0.25">
      <c r="A952" s="143" t="s">
        <v>4330</v>
      </c>
      <c r="B952" s="114">
        <v>7</v>
      </c>
      <c r="C952" t="s">
        <v>4379</v>
      </c>
      <c r="D952" s="91"/>
      <c r="E952"/>
      <c r="F952"/>
      <c r="G952" s="94" t="s">
        <v>5546</v>
      </c>
      <c r="H952" s="94" t="s">
        <v>5547</v>
      </c>
      <c r="I952"/>
      <c r="J952"/>
      <c r="K952"/>
      <c r="L952" s="13">
        <v>0</v>
      </c>
      <c r="M952" t="s">
        <v>6376</v>
      </c>
      <c r="N952" t="s">
        <v>80</v>
      </c>
      <c r="O952"/>
    </row>
    <row r="953" spans="1:15" x14ac:dyDescent="0.25">
      <c r="A953" s="143" t="s">
        <v>4330</v>
      </c>
      <c r="B953" s="115">
        <v>8</v>
      </c>
      <c r="C953" s="61" t="s">
        <v>268</v>
      </c>
      <c r="D953" s="63" t="s">
        <v>6952</v>
      </c>
      <c r="E953" s="77" t="s">
        <v>1603</v>
      </c>
      <c r="F953" s="61" t="s">
        <v>2235</v>
      </c>
      <c r="G953" s="61" t="s">
        <v>482</v>
      </c>
      <c r="H953" s="61" t="s">
        <v>483</v>
      </c>
      <c r="I953" s="75" t="s">
        <v>2233</v>
      </c>
      <c r="J953" s="63"/>
      <c r="K953" s="84">
        <v>0</v>
      </c>
      <c r="L953" s="85">
        <v>0</v>
      </c>
      <c r="M953" s="61" t="s">
        <v>139</v>
      </c>
      <c r="N953" t="s">
        <v>80</v>
      </c>
    </row>
    <row r="954" spans="1:15" x14ac:dyDescent="0.25">
      <c r="A954" s="143" t="s">
        <v>4330</v>
      </c>
      <c r="B954" s="115">
        <v>9</v>
      </c>
      <c r="C954" s="61" t="s">
        <v>269</v>
      </c>
      <c r="D954" s="63" t="s">
        <v>3362</v>
      </c>
      <c r="E954" s="77" t="s">
        <v>1604</v>
      </c>
      <c r="F954" s="62" t="s">
        <v>2286</v>
      </c>
      <c r="G954" s="61" t="s">
        <v>484</v>
      </c>
      <c r="H954" s="61" t="s">
        <v>485</v>
      </c>
      <c r="I954" s="75" t="s">
        <v>2482</v>
      </c>
      <c r="J954" s="63"/>
      <c r="K954" s="84">
        <v>0</v>
      </c>
      <c r="L954" s="85">
        <v>0</v>
      </c>
      <c r="M954" s="61" t="s">
        <v>262</v>
      </c>
      <c r="N954" t="s">
        <v>80</v>
      </c>
    </row>
    <row r="955" spans="1:15" x14ac:dyDescent="0.25">
      <c r="A955" s="143" t="s">
        <v>4330</v>
      </c>
      <c r="B955" s="115">
        <v>10</v>
      </c>
      <c r="C955" s="61" t="s">
        <v>271</v>
      </c>
      <c r="D955" s="63" t="s">
        <v>3361</v>
      </c>
      <c r="E955" s="77" t="s">
        <v>1606</v>
      </c>
      <c r="F955" s="61" t="s">
        <v>2287</v>
      </c>
      <c r="G955" s="61" t="s">
        <v>488</v>
      </c>
      <c r="H955" s="61" t="s">
        <v>489</v>
      </c>
      <c r="I955" s="75" t="s">
        <v>2484</v>
      </c>
      <c r="J955" s="63"/>
      <c r="K955" s="84">
        <v>0</v>
      </c>
      <c r="L955" s="85">
        <v>0</v>
      </c>
      <c r="M955" s="61" t="s">
        <v>262</v>
      </c>
      <c r="N955" t="s">
        <v>80</v>
      </c>
    </row>
    <row r="956" spans="1:15" x14ac:dyDescent="0.25">
      <c r="A956" s="143" t="s">
        <v>4330</v>
      </c>
      <c r="B956" s="115">
        <v>11</v>
      </c>
      <c r="C956" s="61" t="s">
        <v>272</v>
      </c>
      <c r="D956" s="61" t="s">
        <v>3383</v>
      </c>
      <c r="E956" s="77" t="s">
        <v>1607</v>
      </c>
      <c r="F956" s="61" t="s">
        <v>2234</v>
      </c>
      <c r="G956" s="61" t="s">
        <v>490</v>
      </c>
      <c r="H956" s="61" t="s">
        <v>491</v>
      </c>
      <c r="I956" s="75" t="s">
        <v>2406</v>
      </c>
      <c r="J956" s="63"/>
      <c r="K956" s="84">
        <v>0</v>
      </c>
      <c r="L956" s="85">
        <v>0</v>
      </c>
      <c r="M956" s="61" t="s">
        <v>266</v>
      </c>
      <c r="N956" t="s">
        <v>80</v>
      </c>
    </row>
    <row r="957" spans="1:15" x14ac:dyDescent="0.25">
      <c r="A957" s="143" t="s">
        <v>4330</v>
      </c>
      <c r="B957" s="115">
        <v>12</v>
      </c>
      <c r="C957" s="61" t="s">
        <v>270</v>
      </c>
      <c r="D957" s="63" t="s">
        <v>3360</v>
      </c>
      <c r="E957" s="77" t="s">
        <v>1605</v>
      </c>
      <c r="F957" s="61" t="s">
        <v>2288</v>
      </c>
      <c r="G957" s="61" t="s">
        <v>486</v>
      </c>
      <c r="H957" s="61" t="s">
        <v>487</v>
      </c>
      <c r="I957" s="75" t="s">
        <v>2483</v>
      </c>
      <c r="J957" s="63"/>
      <c r="K957" s="84">
        <v>0</v>
      </c>
      <c r="L957" s="85">
        <v>0</v>
      </c>
      <c r="M957" s="61" t="s">
        <v>262</v>
      </c>
      <c r="N957" t="s">
        <v>80</v>
      </c>
    </row>
    <row r="958" spans="1:15" x14ac:dyDescent="0.25">
      <c r="A958" s="143" t="s">
        <v>4330</v>
      </c>
      <c r="B958" s="114"/>
      <c r="C958" t="s">
        <v>4409</v>
      </c>
      <c r="D958" s="91"/>
      <c r="G958" s="91" t="s">
        <v>5612</v>
      </c>
      <c r="H958" s="91" t="s">
        <v>5613</v>
      </c>
      <c r="L958" s="13">
        <v>0</v>
      </c>
      <c r="M958" t="s">
        <v>6377</v>
      </c>
      <c r="N958" t="s">
        <v>80</v>
      </c>
    </row>
    <row r="959" spans="1:15" x14ac:dyDescent="0.25">
      <c r="A959" s="143" t="s">
        <v>4330</v>
      </c>
      <c r="B959" s="114"/>
      <c r="C959" t="s">
        <v>4356</v>
      </c>
      <c r="D959" s="91"/>
      <c r="G959" s="91" t="s">
        <v>5501</v>
      </c>
      <c r="H959" s="91" t="s">
        <v>5502</v>
      </c>
      <c r="L959" s="13">
        <v>0</v>
      </c>
      <c r="M959" t="s">
        <v>6370</v>
      </c>
      <c r="N959" t="s">
        <v>80</v>
      </c>
    </row>
    <row r="960" spans="1:15" x14ac:dyDescent="0.25">
      <c r="A960" s="143" t="s">
        <v>4330</v>
      </c>
      <c r="B960" s="114"/>
      <c r="C960" t="s">
        <v>4373</v>
      </c>
      <c r="D960" s="91"/>
      <c r="G960" s="91" t="s">
        <v>5534</v>
      </c>
      <c r="H960" s="91" t="s">
        <v>5535</v>
      </c>
      <c r="L960" s="13">
        <v>0</v>
      </c>
      <c r="M960" t="s">
        <v>262</v>
      </c>
      <c r="N960" t="s">
        <v>80</v>
      </c>
    </row>
    <row r="961" spans="1:14" x14ac:dyDescent="0.25">
      <c r="A961" s="143" t="s">
        <v>4330</v>
      </c>
      <c r="B961" s="114"/>
      <c r="C961" t="s">
        <v>4375</v>
      </c>
      <c r="D961" s="91"/>
      <c r="G961" s="91" t="s">
        <v>5538</v>
      </c>
      <c r="H961" s="91" t="s">
        <v>5539</v>
      </c>
      <c r="L961" s="13">
        <v>0</v>
      </c>
      <c r="M961" t="s">
        <v>262</v>
      </c>
      <c r="N961" t="s">
        <v>80</v>
      </c>
    </row>
    <row r="962" spans="1:14" x14ac:dyDescent="0.25">
      <c r="A962" s="143" t="s">
        <v>4330</v>
      </c>
      <c r="B962" s="114"/>
      <c r="C962" t="s">
        <v>4331</v>
      </c>
      <c r="D962" s="91"/>
      <c r="G962" s="96" t="s">
        <v>5447</v>
      </c>
      <c r="H962" s="96" t="s">
        <v>5448</v>
      </c>
      <c r="L962" s="13">
        <v>0</v>
      </c>
      <c r="M962" t="s">
        <v>139</v>
      </c>
      <c r="N962" t="s">
        <v>80</v>
      </c>
    </row>
    <row r="963" spans="1:14" x14ac:dyDescent="0.25">
      <c r="A963" s="143" t="s">
        <v>4330</v>
      </c>
      <c r="B963" s="114"/>
      <c r="C963" t="s">
        <v>4331</v>
      </c>
      <c r="D963" s="91"/>
      <c r="G963" s="91" t="s">
        <v>5622</v>
      </c>
      <c r="H963" s="95" t="s">
        <v>5623</v>
      </c>
      <c r="L963" s="13">
        <v>0</v>
      </c>
      <c r="M963" t="s">
        <v>139</v>
      </c>
      <c r="N963" t="s">
        <v>80</v>
      </c>
    </row>
    <row r="964" spans="1:14" x14ac:dyDescent="0.25">
      <c r="A964" s="143" t="s">
        <v>4330</v>
      </c>
      <c r="B964" s="114"/>
      <c r="C964" t="s">
        <v>4413</v>
      </c>
      <c r="D964" s="91"/>
      <c r="G964" s="91" t="s">
        <v>5620</v>
      </c>
      <c r="H964" s="91" t="s">
        <v>5621</v>
      </c>
      <c r="L964" s="13">
        <v>0</v>
      </c>
      <c r="M964" t="s">
        <v>139</v>
      </c>
      <c r="N964" t="s">
        <v>80</v>
      </c>
    </row>
    <row r="965" spans="1:14" x14ac:dyDescent="0.25">
      <c r="A965" s="143" t="s">
        <v>4330</v>
      </c>
      <c r="B965" s="114"/>
      <c r="C965" t="s">
        <v>4362</v>
      </c>
      <c r="D965" s="91"/>
      <c r="G965" s="91" t="s">
        <v>5513</v>
      </c>
      <c r="H965" s="91" t="s">
        <v>5514</v>
      </c>
      <c r="L965" s="13">
        <v>0</v>
      </c>
      <c r="M965" t="s">
        <v>6373</v>
      </c>
      <c r="N965" t="s">
        <v>80</v>
      </c>
    </row>
    <row r="966" spans="1:14" x14ac:dyDescent="0.25">
      <c r="A966" s="143" t="s">
        <v>4330</v>
      </c>
      <c r="B966" s="114"/>
      <c r="C966" t="s">
        <v>4363</v>
      </c>
      <c r="D966" s="91"/>
      <c r="G966" s="91" t="s">
        <v>5515</v>
      </c>
      <c r="H966" s="91" t="s">
        <v>5516</v>
      </c>
      <c r="L966" s="13">
        <v>0</v>
      </c>
      <c r="M966" t="s">
        <v>6373</v>
      </c>
      <c r="N966" t="s">
        <v>80</v>
      </c>
    </row>
    <row r="967" spans="1:14" x14ac:dyDescent="0.25">
      <c r="A967" s="143" t="s">
        <v>4330</v>
      </c>
      <c r="B967" s="114"/>
      <c r="C967" t="s">
        <v>4371</v>
      </c>
      <c r="D967" s="91"/>
      <c r="G967" s="91" t="s">
        <v>5530</v>
      </c>
      <c r="H967" s="91" t="s">
        <v>5531</v>
      </c>
      <c r="L967" s="13">
        <v>0</v>
      </c>
      <c r="M967" t="s">
        <v>6374</v>
      </c>
      <c r="N967" t="s">
        <v>80</v>
      </c>
    </row>
    <row r="968" spans="1:14" x14ac:dyDescent="0.25">
      <c r="A968" s="143" t="s">
        <v>4330</v>
      </c>
      <c r="B968" s="114"/>
      <c r="C968" t="s">
        <v>4376</v>
      </c>
      <c r="D968" s="91"/>
      <c r="G968" s="91" t="s">
        <v>5540</v>
      </c>
      <c r="H968" s="91" t="s">
        <v>5541</v>
      </c>
      <c r="L968" s="13">
        <v>0</v>
      </c>
      <c r="M968" t="s">
        <v>262</v>
      </c>
      <c r="N968" t="s">
        <v>80</v>
      </c>
    </row>
    <row r="969" spans="1:14" x14ac:dyDescent="0.25">
      <c r="A969" s="143" t="s">
        <v>4330</v>
      </c>
      <c r="B969" s="114"/>
      <c r="C969" t="s">
        <v>4425</v>
      </c>
      <c r="D969" s="91"/>
      <c r="G969" s="91" t="s">
        <v>5648</v>
      </c>
      <c r="H969" s="91" t="s">
        <v>5649</v>
      </c>
      <c r="L969" s="13">
        <v>0</v>
      </c>
      <c r="M969" t="s">
        <v>100</v>
      </c>
      <c r="N969" t="s">
        <v>80</v>
      </c>
    </row>
    <row r="970" spans="1:14" x14ac:dyDescent="0.25">
      <c r="A970" s="143" t="s">
        <v>4330</v>
      </c>
      <c r="B970" s="114"/>
      <c r="C970" t="s">
        <v>4390</v>
      </c>
      <c r="D970" s="91"/>
      <c r="G970" s="91" t="s">
        <v>5568</v>
      </c>
      <c r="H970" s="91" t="s">
        <v>5569</v>
      </c>
      <c r="L970" s="13">
        <v>0</v>
      </c>
      <c r="M970" t="s">
        <v>262</v>
      </c>
      <c r="N970" t="s">
        <v>80</v>
      </c>
    </row>
    <row r="971" spans="1:14" x14ac:dyDescent="0.25">
      <c r="A971" s="143" t="s">
        <v>4330</v>
      </c>
      <c r="B971" s="114"/>
      <c r="C971" t="s">
        <v>4437</v>
      </c>
      <c r="D971" s="91"/>
      <c r="G971" s="91" t="s">
        <v>5676</v>
      </c>
      <c r="H971" s="91" t="s">
        <v>5677</v>
      </c>
      <c r="L971" s="13">
        <v>0</v>
      </c>
      <c r="M971" t="s">
        <v>163</v>
      </c>
      <c r="N971" t="s">
        <v>80</v>
      </c>
    </row>
    <row r="972" spans="1:14" x14ac:dyDescent="0.25">
      <c r="A972" s="143" t="s">
        <v>4330</v>
      </c>
      <c r="B972" s="114"/>
      <c r="C972" t="s">
        <v>4358</v>
      </c>
      <c r="D972" s="91"/>
      <c r="G972" s="91" t="s">
        <v>5505</v>
      </c>
      <c r="H972" s="91" t="s">
        <v>5506</v>
      </c>
      <c r="L972" s="13">
        <v>0</v>
      </c>
      <c r="M972" t="s">
        <v>6372</v>
      </c>
      <c r="N972" t="s">
        <v>80</v>
      </c>
    </row>
    <row r="973" spans="1:14" x14ac:dyDescent="0.25">
      <c r="A973" s="143" t="s">
        <v>4330</v>
      </c>
      <c r="B973" s="114"/>
      <c r="C973" t="s">
        <v>4354</v>
      </c>
      <c r="D973" s="91"/>
      <c r="G973" s="91" t="s">
        <v>5497</v>
      </c>
      <c r="H973" s="91" t="s">
        <v>5498</v>
      </c>
      <c r="L973" s="13">
        <v>0</v>
      </c>
      <c r="M973" t="s">
        <v>6351</v>
      </c>
      <c r="N973" t="s">
        <v>80</v>
      </c>
    </row>
    <row r="974" spans="1:14" x14ac:dyDescent="0.25">
      <c r="A974" s="143" t="s">
        <v>4330</v>
      </c>
      <c r="B974" s="114"/>
      <c r="C974" t="s">
        <v>4355</v>
      </c>
      <c r="D974" s="91"/>
      <c r="G974" s="91" t="s">
        <v>5499</v>
      </c>
      <c r="H974" s="91" t="s">
        <v>5500</v>
      </c>
      <c r="L974" s="13">
        <v>0</v>
      </c>
      <c r="M974" t="s">
        <v>3005</v>
      </c>
      <c r="N974" t="s">
        <v>80</v>
      </c>
    </row>
    <row r="975" spans="1:14" x14ac:dyDescent="0.25">
      <c r="A975" s="143" t="s">
        <v>4330</v>
      </c>
      <c r="B975" s="114"/>
      <c r="C975" t="s">
        <v>4361</v>
      </c>
      <c r="D975" s="91"/>
      <c r="G975" s="91" t="s">
        <v>5511</v>
      </c>
      <c r="H975" s="91" t="s">
        <v>5512</v>
      </c>
      <c r="L975" s="13">
        <v>0</v>
      </c>
      <c r="M975" t="s">
        <v>6373</v>
      </c>
      <c r="N975" t="s">
        <v>80</v>
      </c>
    </row>
    <row r="976" spans="1:14" x14ac:dyDescent="0.25">
      <c r="A976" s="143" t="s">
        <v>4330</v>
      </c>
      <c r="B976" s="114"/>
      <c r="C976" t="s">
        <v>4377</v>
      </c>
      <c r="D976" s="91"/>
      <c r="G976" s="91" t="s">
        <v>5542</v>
      </c>
      <c r="H976" s="91" t="s">
        <v>5543</v>
      </c>
      <c r="L976" s="13">
        <v>0</v>
      </c>
      <c r="M976" t="s">
        <v>262</v>
      </c>
      <c r="N976" t="s">
        <v>80</v>
      </c>
    </row>
    <row r="977" spans="1:14" x14ac:dyDescent="0.25">
      <c r="A977" s="143" t="s">
        <v>4330</v>
      </c>
      <c r="B977" s="114"/>
      <c r="C977" t="s">
        <v>4426</v>
      </c>
      <c r="D977" s="91"/>
      <c r="G977" s="91" t="s">
        <v>5650</v>
      </c>
      <c r="H977" s="91" t="s">
        <v>5651</v>
      </c>
      <c r="L977" s="13">
        <v>0</v>
      </c>
      <c r="M977" t="s">
        <v>100</v>
      </c>
      <c r="N977" t="s">
        <v>80</v>
      </c>
    </row>
    <row r="978" spans="1:14" x14ac:dyDescent="0.25">
      <c r="A978" s="143" t="s">
        <v>4330</v>
      </c>
      <c r="B978" s="114"/>
      <c r="C978" t="s">
        <v>4374</v>
      </c>
      <c r="D978" s="91"/>
      <c r="G978" s="91" t="s">
        <v>5536</v>
      </c>
      <c r="H978" s="91" t="s">
        <v>5537</v>
      </c>
      <c r="L978" s="13">
        <v>0</v>
      </c>
      <c r="M978" t="s">
        <v>262</v>
      </c>
      <c r="N978" t="s">
        <v>80</v>
      </c>
    </row>
    <row r="979" spans="1:14" x14ac:dyDescent="0.25">
      <c r="A979" s="143" t="s">
        <v>4330</v>
      </c>
      <c r="B979" s="114"/>
      <c r="C979" t="s">
        <v>4388</v>
      </c>
      <c r="D979" s="91"/>
      <c r="G979" s="91" t="s">
        <v>5564</v>
      </c>
      <c r="H979" s="91" t="s">
        <v>5565</v>
      </c>
      <c r="L979" s="13">
        <v>0</v>
      </c>
      <c r="M979" t="s">
        <v>262</v>
      </c>
      <c r="N979" t="s">
        <v>80</v>
      </c>
    </row>
    <row r="980" spans="1:14" x14ac:dyDescent="0.25">
      <c r="A980" s="143" t="s">
        <v>4330</v>
      </c>
      <c r="B980" s="114"/>
      <c r="C980" t="s">
        <v>4410</v>
      </c>
      <c r="D980" s="91"/>
      <c r="G980" s="91" t="s">
        <v>5614</v>
      </c>
      <c r="H980" s="91" t="s">
        <v>5615</v>
      </c>
      <c r="L980" s="13">
        <v>0</v>
      </c>
      <c r="M980" t="s">
        <v>6377</v>
      </c>
      <c r="N980" t="s">
        <v>80</v>
      </c>
    </row>
    <row r="981" spans="1:14" x14ac:dyDescent="0.25">
      <c r="A981" s="143" t="s">
        <v>4330</v>
      </c>
      <c r="B981" s="114"/>
      <c r="C981" t="s">
        <v>4380</v>
      </c>
      <c r="D981" s="91"/>
      <c r="G981" s="91" t="s">
        <v>5548</v>
      </c>
      <c r="H981" s="91" t="s">
        <v>5549</v>
      </c>
      <c r="L981" s="13">
        <v>0</v>
      </c>
      <c r="M981" t="s">
        <v>262</v>
      </c>
      <c r="N981" t="s">
        <v>80</v>
      </c>
    </row>
    <row r="982" spans="1:14" x14ac:dyDescent="0.25">
      <c r="A982" s="143" t="s">
        <v>4330</v>
      </c>
      <c r="B982" s="114"/>
      <c r="C982" t="s">
        <v>4393</v>
      </c>
      <c r="D982" s="91"/>
      <c r="G982" s="91" t="s">
        <v>5576</v>
      </c>
      <c r="H982" s="91" t="s">
        <v>5577</v>
      </c>
      <c r="L982" s="13">
        <v>0</v>
      </c>
      <c r="M982" t="s">
        <v>262</v>
      </c>
      <c r="N982" t="s">
        <v>80</v>
      </c>
    </row>
    <row r="983" spans="1:14" x14ac:dyDescent="0.25">
      <c r="A983" s="143" t="s">
        <v>4330</v>
      </c>
      <c r="B983" s="114"/>
      <c r="C983" t="s">
        <v>4398</v>
      </c>
      <c r="D983" s="91"/>
      <c r="G983" s="91" t="s">
        <v>5586</v>
      </c>
      <c r="H983" s="91" t="s">
        <v>5587</v>
      </c>
      <c r="L983" s="13">
        <v>0</v>
      </c>
      <c r="M983" t="s">
        <v>262</v>
      </c>
      <c r="N983" t="s">
        <v>80</v>
      </c>
    </row>
    <row r="984" spans="1:14" x14ac:dyDescent="0.25">
      <c r="A984" s="143" t="s">
        <v>4330</v>
      </c>
      <c r="B984" s="114"/>
      <c r="C984" t="s">
        <v>4415</v>
      </c>
      <c r="D984" s="91"/>
      <c r="G984" s="91" t="s">
        <v>5626</v>
      </c>
      <c r="H984" s="91" t="s">
        <v>5627</v>
      </c>
      <c r="L984" s="13">
        <v>0</v>
      </c>
      <c r="M984" t="s">
        <v>266</v>
      </c>
      <c r="N984" t="s">
        <v>80</v>
      </c>
    </row>
    <row r="985" spans="1:14" x14ac:dyDescent="0.25">
      <c r="A985" s="143" t="s">
        <v>4330</v>
      </c>
      <c r="B985" s="114"/>
      <c r="C985" t="s">
        <v>4372</v>
      </c>
      <c r="D985" s="91"/>
      <c r="G985" s="91" t="s">
        <v>5532</v>
      </c>
      <c r="H985" s="91" t="s">
        <v>5533</v>
      </c>
      <c r="L985" s="13">
        <v>0</v>
      </c>
      <c r="M985" t="s">
        <v>6375</v>
      </c>
      <c r="N985" t="s">
        <v>80</v>
      </c>
    </row>
    <row r="986" spans="1:14" x14ac:dyDescent="0.25">
      <c r="A986" s="143" t="s">
        <v>4330</v>
      </c>
      <c r="B986" s="114"/>
      <c r="C986" t="s">
        <v>4382</v>
      </c>
      <c r="D986" s="91"/>
      <c r="G986" s="91" t="s">
        <v>5552</v>
      </c>
      <c r="H986" s="91" t="s">
        <v>5553</v>
      </c>
      <c r="L986" s="13">
        <v>0</v>
      </c>
      <c r="M986" t="s">
        <v>262</v>
      </c>
      <c r="N986" t="s">
        <v>80</v>
      </c>
    </row>
    <row r="987" spans="1:14" x14ac:dyDescent="0.25">
      <c r="A987" s="143" t="s">
        <v>4330</v>
      </c>
      <c r="B987" s="114"/>
      <c r="C987" t="s">
        <v>4436</v>
      </c>
      <c r="D987" s="91"/>
      <c r="G987" s="91" t="s">
        <v>5672</v>
      </c>
      <c r="H987" s="91" t="s">
        <v>5673</v>
      </c>
      <c r="L987" s="13">
        <v>0</v>
      </c>
      <c r="M987" t="s">
        <v>156</v>
      </c>
      <c r="N987" t="s">
        <v>80</v>
      </c>
    </row>
    <row r="988" spans="1:14" x14ac:dyDescent="0.25">
      <c r="A988" s="143" t="s">
        <v>4330</v>
      </c>
      <c r="B988" s="114"/>
      <c r="C988" t="s">
        <v>4435</v>
      </c>
      <c r="D988" s="91"/>
      <c r="G988" s="91" t="s">
        <v>5670</v>
      </c>
      <c r="H988" s="91" t="s">
        <v>5671</v>
      </c>
      <c r="L988" s="13">
        <v>0</v>
      </c>
      <c r="M988" t="s">
        <v>163</v>
      </c>
      <c r="N988" t="s">
        <v>80</v>
      </c>
    </row>
    <row r="989" spans="1:14" x14ac:dyDescent="0.25">
      <c r="A989" s="143" t="s">
        <v>4330</v>
      </c>
      <c r="B989" s="114"/>
      <c r="C989" t="s">
        <v>4381</v>
      </c>
      <c r="D989" s="91"/>
      <c r="G989" s="91" t="s">
        <v>5550</v>
      </c>
      <c r="H989" s="91" t="s">
        <v>5551</v>
      </c>
      <c r="L989" s="13">
        <v>0</v>
      </c>
      <c r="M989" t="s">
        <v>262</v>
      </c>
      <c r="N989" t="s">
        <v>80</v>
      </c>
    </row>
    <row r="990" spans="1:14" x14ac:dyDescent="0.25">
      <c r="A990" s="143" t="s">
        <v>4330</v>
      </c>
      <c r="B990" s="114"/>
      <c r="C990" t="s">
        <v>4348</v>
      </c>
      <c r="D990" s="91"/>
      <c r="G990" s="91" t="s">
        <v>5485</v>
      </c>
      <c r="H990" s="91" t="s">
        <v>5486</v>
      </c>
      <c r="L990" s="13">
        <v>0</v>
      </c>
      <c r="M990" t="s">
        <v>92</v>
      </c>
      <c r="N990" t="s">
        <v>80</v>
      </c>
    </row>
    <row r="991" spans="1:14" x14ac:dyDescent="0.25">
      <c r="A991" s="143" t="s">
        <v>4330</v>
      </c>
      <c r="B991" s="114"/>
      <c r="C991" t="s">
        <v>4383</v>
      </c>
      <c r="D991" s="91"/>
      <c r="G991" s="91" t="s">
        <v>5554</v>
      </c>
      <c r="H991" s="91" t="s">
        <v>5555</v>
      </c>
      <c r="L991" s="13">
        <v>0</v>
      </c>
      <c r="M991" t="s">
        <v>262</v>
      </c>
      <c r="N991" t="s">
        <v>80</v>
      </c>
    </row>
    <row r="992" spans="1:14" x14ac:dyDescent="0.25">
      <c r="A992" s="143" t="s">
        <v>4330</v>
      </c>
      <c r="B992" s="114"/>
      <c r="C992" t="s">
        <v>4335</v>
      </c>
      <c r="D992" s="91"/>
      <c r="G992" s="91" t="s">
        <v>5455</v>
      </c>
      <c r="H992" s="91" t="s">
        <v>5456</v>
      </c>
      <c r="L992" s="13">
        <v>0</v>
      </c>
      <c r="M992" t="s">
        <v>195</v>
      </c>
      <c r="N992" t="s">
        <v>80</v>
      </c>
    </row>
    <row r="993" spans="1:14" x14ac:dyDescent="0.25">
      <c r="A993" s="143" t="s">
        <v>4330</v>
      </c>
      <c r="B993" s="114"/>
      <c r="C993" t="s">
        <v>1883</v>
      </c>
      <c r="D993" s="91"/>
      <c r="G993" s="91" t="s">
        <v>5674</v>
      </c>
      <c r="H993" s="91" t="s">
        <v>5675</v>
      </c>
      <c r="L993" s="13">
        <v>0</v>
      </c>
      <c r="M993" t="s">
        <v>163</v>
      </c>
      <c r="N993" t="s">
        <v>80</v>
      </c>
    </row>
    <row r="994" spans="1:14" x14ac:dyDescent="0.25">
      <c r="A994" s="143" t="s">
        <v>4330</v>
      </c>
      <c r="B994" s="114"/>
      <c r="C994" t="s">
        <v>4446</v>
      </c>
      <c r="D994" s="91"/>
      <c r="G994" s="91" t="s">
        <v>5696</v>
      </c>
      <c r="H994" s="91" t="s">
        <v>5697</v>
      </c>
      <c r="L994" s="13">
        <v>0</v>
      </c>
      <c r="M994" t="s">
        <v>6383</v>
      </c>
      <c r="N994" t="s">
        <v>80</v>
      </c>
    </row>
    <row r="995" spans="1:14" x14ac:dyDescent="0.25">
      <c r="A995" s="143" t="s">
        <v>4330</v>
      </c>
      <c r="B995" s="114"/>
      <c r="C995" t="s">
        <v>4441</v>
      </c>
      <c r="D995" s="91"/>
      <c r="G995" s="91" t="s">
        <v>5686</v>
      </c>
      <c r="H995" s="91" t="s">
        <v>5687</v>
      </c>
      <c r="L995" s="13">
        <v>0</v>
      </c>
      <c r="M995" t="s">
        <v>6381</v>
      </c>
      <c r="N995" t="s">
        <v>80</v>
      </c>
    </row>
    <row r="996" spans="1:14" x14ac:dyDescent="0.25">
      <c r="A996" s="143" t="s">
        <v>4330</v>
      </c>
      <c r="B996" s="114"/>
      <c r="C996" t="s">
        <v>4445</v>
      </c>
      <c r="D996" s="91"/>
      <c r="G996" s="91" t="s">
        <v>5694</v>
      </c>
      <c r="H996" s="91" t="s">
        <v>5695</v>
      </c>
      <c r="L996" s="13">
        <v>0</v>
      </c>
      <c r="M996" t="s">
        <v>6382</v>
      </c>
      <c r="N996" t="s">
        <v>80</v>
      </c>
    </row>
    <row r="997" spans="1:14" x14ac:dyDescent="0.25">
      <c r="A997" s="143" t="s">
        <v>4330</v>
      </c>
      <c r="B997" s="114"/>
      <c r="C997" t="s">
        <v>4336</v>
      </c>
      <c r="D997" s="91"/>
      <c r="G997" s="91" t="s">
        <v>5457</v>
      </c>
      <c r="H997" s="91" t="s">
        <v>5458</v>
      </c>
      <c r="L997" s="13">
        <v>0</v>
      </c>
      <c r="M997" t="s">
        <v>195</v>
      </c>
      <c r="N997" t="s">
        <v>80</v>
      </c>
    </row>
    <row r="998" spans="1:14" x14ac:dyDescent="0.25">
      <c r="A998" s="143" t="s">
        <v>4330</v>
      </c>
      <c r="B998" s="114"/>
      <c r="C998" t="s">
        <v>1887</v>
      </c>
      <c r="D998" s="91"/>
      <c r="G998" s="91" t="s">
        <v>5634</v>
      </c>
      <c r="H998" s="91" t="s">
        <v>5635</v>
      </c>
      <c r="L998" s="13">
        <v>0</v>
      </c>
      <c r="M998" t="s">
        <v>1877</v>
      </c>
      <c r="N998" t="s">
        <v>80</v>
      </c>
    </row>
    <row r="999" spans="1:14" x14ac:dyDescent="0.25">
      <c r="A999" s="143" t="s">
        <v>4330</v>
      </c>
      <c r="B999" s="114"/>
      <c r="C999" t="s">
        <v>4417</v>
      </c>
      <c r="D999" s="91"/>
      <c r="G999" s="91" t="s">
        <v>5630</v>
      </c>
      <c r="H999" s="91" t="s">
        <v>5631</v>
      </c>
      <c r="L999" s="13">
        <v>0</v>
      </c>
      <c r="M999" t="s">
        <v>266</v>
      </c>
      <c r="N999" t="s">
        <v>80</v>
      </c>
    </row>
    <row r="1000" spans="1:14" x14ac:dyDescent="0.25">
      <c r="A1000" s="143" t="s">
        <v>4330</v>
      </c>
      <c r="B1000" s="114"/>
      <c r="C1000" t="s">
        <v>4341</v>
      </c>
      <c r="D1000" s="91"/>
      <c r="G1000" s="91" t="s">
        <v>5469</v>
      </c>
      <c r="H1000" s="91" t="s">
        <v>5470</v>
      </c>
      <c r="L1000" s="13">
        <v>0</v>
      </c>
      <c r="M1000" t="s">
        <v>6364</v>
      </c>
      <c r="N1000" t="s">
        <v>80</v>
      </c>
    </row>
    <row r="1001" spans="1:14" x14ac:dyDescent="0.25">
      <c r="A1001" s="143" t="s">
        <v>4330</v>
      </c>
      <c r="B1001" s="114"/>
      <c r="C1001" t="s">
        <v>4364</v>
      </c>
      <c r="D1001" s="91"/>
      <c r="G1001" s="91" t="s">
        <v>5517</v>
      </c>
      <c r="H1001" s="91" t="s">
        <v>5518</v>
      </c>
      <c r="L1001" s="13">
        <v>0</v>
      </c>
      <c r="M1001" t="s">
        <v>6373</v>
      </c>
      <c r="N1001" t="s">
        <v>80</v>
      </c>
    </row>
    <row r="1002" spans="1:14" x14ac:dyDescent="0.25">
      <c r="A1002" s="143" t="s">
        <v>4330</v>
      </c>
      <c r="B1002" s="114"/>
      <c r="C1002" t="s">
        <v>4349</v>
      </c>
      <c r="D1002" s="91"/>
      <c r="G1002" s="91" t="s">
        <v>5487</v>
      </c>
      <c r="H1002" s="91" t="s">
        <v>5488</v>
      </c>
      <c r="L1002" s="13">
        <v>0</v>
      </c>
      <c r="M1002" t="s">
        <v>92</v>
      </c>
      <c r="N1002" t="s">
        <v>80</v>
      </c>
    </row>
    <row r="1003" spans="1:14" x14ac:dyDescent="0.25">
      <c r="A1003" s="143" t="s">
        <v>4330</v>
      </c>
      <c r="B1003" s="114"/>
      <c r="C1003" t="s">
        <v>4352</v>
      </c>
      <c r="D1003" s="91"/>
      <c r="G1003" s="91" t="s">
        <v>5493</v>
      </c>
      <c r="H1003" s="91" t="s">
        <v>5494</v>
      </c>
      <c r="L1003" s="13">
        <v>0</v>
      </c>
      <c r="M1003" t="s">
        <v>92</v>
      </c>
      <c r="N1003" t="s">
        <v>80</v>
      </c>
    </row>
    <row r="1004" spans="1:14" x14ac:dyDescent="0.25">
      <c r="A1004" s="143" t="s">
        <v>4330</v>
      </c>
      <c r="B1004" s="114"/>
      <c r="C1004" t="s">
        <v>4351</v>
      </c>
      <c r="D1004" s="91"/>
      <c r="G1004" s="91" t="s">
        <v>5491</v>
      </c>
      <c r="H1004" s="91" t="s">
        <v>5492</v>
      </c>
      <c r="L1004" s="13">
        <v>0</v>
      </c>
      <c r="M1004" t="s">
        <v>92</v>
      </c>
      <c r="N1004" t="s">
        <v>80</v>
      </c>
    </row>
    <row r="1005" spans="1:14" x14ac:dyDescent="0.25">
      <c r="A1005" s="143" t="s">
        <v>4330</v>
      </c>
      <c r="B1005" s="114"/>
      <c r="C1005" t="s">
        <v>4350</v>
      </c>
      <c r="D1005" s="91"/>
      <c r="G1005" s="91" t="s">
        <v>5489</v>
      </c>
      <c r="H1005" s="91" t="s">
        <v>5490</v>
      </c>
      <c r="L1005" s="13">
        <v>0</v>
      </c>
      <c r="M1005" t="s">
        <v>92</v>
      </c>
      <c r="N1005" t="s">
        <v>80</v>
      </c>
    </row>
    <row r="1006" spans="1:14" x14ac:dyDescent="0.25">
      <c r="A1006" s="143" t="s">
        <v>4330</v>
      </c>
      <c r="B1006" s="114"/>
      <c r="C1006" t="s">
        <v>1884</v>
      </c>
      <c r="D1006" s="91"/>
      <c r="G1006" s="91" t="s">
        <v>5700</v>
      </c>
      <c r="H1006" s="91" t="s">
        <v>5701</v>
      </c>
      <c r="L1006" s="13">
        <v>0</v>
      </c>
      <c r="M1006" t="s">
        <v>157</v>
      </c>
      <c r="N1006" t="s">
        <v>80</v>
      </c>
    </row>
    <row r="1007" spans="1:14" x14ac:dyDescent="0.25">
      <c r="A1007" s="143" t="s">
        <v>4330</v>
      </c>
      <c r="B1007" s="114"/>
      <c r="C1007" t="s">
        <v>4387</v>
      </c>
      <c r="D1007" s="91"/>
      <c r="G1007" s="91" t="s">
        <v>5562</v>
      </c>
      <c r="H1007" s="91" t="s">
        <v>5563</v>
      </c>
      <c r="L1007" s="13">
        <v>0</v>
      </c>
      <c r="M1007" t="s">
        <v>262</v>
      </c>
      <c r="N1007" t="s">
        <v>80</v>
      </c>
    </row>
    <row r="1008" spans="1:14" x14ac:dyDescent="0.25">
      <c r="A1008" s="143" t="s">
        <v>4330</v>
      </c>
      <c r="B1008" s="114"/>
      <c r="C1008" t="s">
        <v>4421</v>
      </c>
      <c r="D1008" s="91"/>
      <c r="G1008" s="91" t="s">
        <v>5640</v>
      </c>
      <c r="H1008" s="91" t="s">
        <v>5641</v>
      </c>
      <c r="L1008" s="13">
        <v>0</v>
      </c>
      <c r="M1008" t="s">
        <v>6361</v>
      </c>
      <c r="N1008" t="s">
        <v>80</v>
      </c>
    </row>
    <row r="1009" spans="1:14" x14ac:dyDescent="0.25">
      <c r="A1009" s="143" t="s">
        <v>4330</v>
      </c>
      <c r="B1009" s="114"/>
      <c r="C1009" t="s">
        <v>4432</v>
      </c>
      <c r="D1009" s="91"/>
      <c r="G1009" s="91" t="s">
        <v>5664</v>
      </c>
      <c r="H1009" s="91" t="s">
        <v>5665</v>
      </c>
      <c r="L1009" s="13">
        <v>0</v>
      </c>
      <c r="M1009" t="s">
        <v>6380</v>
      </c>
      <c r="N1009" t="s">
        <v>80</v>
      </c>
    </row>
    <row r="1010" spans="1:14" x14ac:dyDescent="0.25">
      <c r="A1010" s="143" t="s">
        <v>4330</v>
      </c>
      <c r="B1010" s="114"/>
      <c r="C1010" t="s">
        <v>4418</v>
      </c>
      <c r="D1010" s="91"/>
      <c r="G1010" s="91" t="s">
        <v>5632</v>
      </c>
      <c r="H1010" s="91" t="s">
        <v>5633</v>
      </c>
      <c r="L1010" s="13">
        <v>0</v>
      </c>
      <c r="M1010" t="s">
        <v>266</v>
      </c>
      <c r="N1010" t="s">
        <v>80</v>
      </c>
    </row>
    <row r="1011" spans="1:14" x14ac:dyDescent="0.25">
      <c r="A1011" s="143" t="s">
        <v>4330</v>
      </c>
      <c r="B1011" s="114"/>
      <c r="C1011" t="s">
        <v>4344</v>
      </c>
      <c r="D1011" s="91"/>
      <c r="G1011" s="91" t="s">
        <v>5475</v>
      </c>
      <c r="H1011" s="91" t="s">
        <v>5476</v>
      </c>
      <c r="L1011" s="13">
        <v>0</v>
      </c>
      <c r="M1011" t="s">
        <v>6367</v>
      </c>
      <c r="N1011" t="s">
        <v>80</v>
      </c>
    </row>
    <row r="1012" spans="1:14" x14ac:dyDescent="0.25">
      <c r="A1012" s="143" t="s">
        <v>4330</v>
      </c>
      <c r="B1012" s="114"/>
      <c r="C1012" t="s">
        <v>4346</v>
      </c>
      <c r="D1012" s="91"/>
      <c r="G1012" s="91" t="s">
        <v>5481</v>
      </c>
      <c r="H1012" s="91" t="s">
        <v>5482</v>
      </c>
      <c r="L1012" s="13">
        <v>0</v>
      </c>
      <c r="M1012" t="s">
        <v>6368</v>
      </c>
      <c r="N1012" t="s">
        <v>80</v>
      </c>
    </row>
    <row r="1013" spans="1:14" x14ac:dyDescent="0.25">
      <c r="A1013" s="143" t="s">
        <v>4330</v>
      </c>
      <c r="B1013" s="114"/>
      <c r="C1013" t="s">
        <v>4345</v>
      </c>
      <c r="D1013" s="91"/>
      <c r="G1013" s="91" t="s">
        <v>5479</v>
      </c>
      <c r="H1013" s="91" t="s">
        <v>5480</v>
      </c>
      <c r="L1013" s="13">
        <v>0</v>
      </c>
      <c r="M1013" t="s">
        <v>6368</v>
      </c>
      <c r="N1013" t="s">
        <v>80</v>
      </c>
    </row>
    <row r="1014" spans="1:14" x14ac:dyDescent="0.25">
      <c r="A1014" s="143" t="s">
        <v>4330</v>
      </c>
      <c r="B1014" s="114"/>
      <c r="C1014" t="s">
        <v>4347</v>
      </c>
      <c r="D1014" s="91"/>
      <c r="G1014" s="91" t="s">
        <v>5483</v>
      </c>
      <c r="H1014" s="91" t="s">
        <v>5484</v>
      </c>
      <c r="L1014" s="13">
        <v>0</v>
      </c>
      <c r="M1014" t="s">
        <v>6369</v>
      </c>
      <c r="N1014" t="s">
        <v>80</v>
      </c>
    </row>
    <row r="1015" spans="1:14" x14ac:dyDescent="0.25">
      <c r="A1015" s="143" t="s">
        <v>4330</v>
      </c>
      <c r="B1015" s="114"/>
      <c r="C1015" t="s">
        <v>4333</v>
      </c>
      <c r="D1015" s="91"/>
      <c r="G1015" s="91" t="s">
        <v>5451</v>
      </c>
      <c r="H1015" s="91" t="s">
        <v>5452</v>
      </c>
      <c r="L1015" s="13">
        <v>0</v>
      </c>
      <c r="M1015" t="s">
        <v>195</v>
      </c>
      <c r="N1015" t="s">
        <v>80</v>
      </c>
    </row>
    <row r="1016" spans="1:14" x14ac:dyDescent="0.25">
      <c r="A1016" s="143" t="s">
        <v>4330</v>
      </c>
      <c r="B1016" s="114"/>
      <c r="C1016" t="s">
        <v>4408</v>
      </c>
      <c r="D1016" s="91"/>
      <c r="G1016" s="91" t="s">
        <v>5610</v>
      </c>
      <c r="H1016" s="91" t="s">
        <v>5611</v>
      </c>
      <c r="L1016" s="13">
        <v>0</v>
      </c>
      <c r="M1016" t="s">
        <v>262</v>
      </c>
      <c r="N1016" t="s">
        <v>80</v>
      </c>
    </row>
    <row r="1017" spans="1:14" x14ac:dyDescent="0.25">
      <c r="A1017" s="143" t="s">
        <v>4330</v>
      </c>
      <c r="B1017" s="114"/>
      <c r="C1017" t="s">
        <v>4367</v>
      </c>
      <c r="D1017" s="91"/>
      <c r="G1017" s="91" t="s">
        <v>5522</v>
      </c>
      <c r="H1017" s="91" t="s">
        <v>5523</v>
      </c>
      <c r="L1017" s="13">
        <v>0</v>
      </c>
      <c r="M1017" t="s">
        <v>6356</v>
      </c>
      <c r="N1017" t="s">
        <v>80</v>
      </c>
    </row>
    <row r="1018" spans="1:14" x14ac:dyDescent="0.25">
      <c r="A1018" s="143" t="s">
        <v>4330</v>
      </c>
      <c r="B1018" s="114"/>
      <c r="C1018" t="s">
        <v>4431</v>
      </c>
      <c r="D1018" s="91"/>
      <c r="G1018" s="91" t="s">
        <v>5662</v>
      </c>
      <c r="H1018" s="91" t="s">
        <v>5663</v>
      </c>
      <c r="L1018" s="13">
        <v>0</v>
      </c>
      <c r="M1018" t="s">
        <v>6380</v>
      </c>
      <c r="N1018" t="s">
        <v>80</v>
      </c>
    </row>
    <row r="1019" spans="1:14" x14ac:dyDescent="0.25">
      <c r="A1019" s="143" t="s">
        <v>4330</v>
      </c>
      <c r="B1019" s="114"/>
      <c r="C1019" t="s">
        <v>4353</v>
      </c>
      <c r="D1019" s="91"/>
      <c r="G1019" s="91" t="s">
        <v>5495</v>
      </c>
      <c r="H1019" s="91" t="s">
        <v>5496</v>
      </c>
      <c r="L1019" s="13">
        <v>0</v>
      </c>
      <c r="M1019" t="s">
        <v>92</v>
      </c>
      <c r="N1019" t="s">
        <v>80</v>
      </c>
    </row>
    <row r="1020" spans="1:14" x14ac:dyDescent="0.25">
      <c r="A1020" s="143" t="s">
        <v>4330</v>
      </c>
      <c r="B1020" s="114"/>
      <c r="C1020" t="s">
        <v>1878</v>
      </c>
      <c r="D1020" s="91"/>
      <c r="G1020" s="91" t="s">
        <v>5652</v>
      </c>
      <c r="H1020" s="91" t="s">
        <v>5653</v>
      </c>
      <c r="L1020" s="13">
        <v>0</v>
      </c>
      <c r="M1020" t="s">
        <v>100</v>
      </c>
      <c r="N1020" t="s">
        <v>80</v>
      </c>
    </row>
    <row r="1021" spans="1:14" x14ac:dyDescent="0.25">
      <c r="A1021" s="143" t="s">
        <v>4330</v>
      </c>
      <c r="B1021" s="114"/>
      <c r="C1021" t="s">
        <v>4423</v>
      </c>
      <c r="D1021" s="91"/>
      <c r="G1021" s="91" t="s">
        <v>5644</v>
      </c>
      <c r="H1021" s="91" t="s">
        <v>5645</v>
      </c>
      <c r="L1021" s="13">
        <v>0</v>
      </c>
      <c r="M1021" t="s">
        <v>6379</v>
      </c>
      <c r="N1021" t="s">
        <v>80</v>
      </c>
    </row>
    <row r="1022" spans="1:14" x14ac:dyDescent="0.25">
      <c r="A1022" s="143" t="s">
        <v>4330</v>
      </c>
      <c r="B1022" s="114"/>
      <c r="C1022" t="s">
        <v>4424</v>
      </c>
      <c r="D1022" s="91"/>
      <c r="G1022" s="91" t="s">
        <v>5646</v>
      </c>
      <c r="H1022" s="91" t="s">
        <v>5647</v>
      </c>
      <c r="L1022" s="13">
        <v>0</v>
      </c>
      <c r="M1022" t="s">
        <v>6379</v>
      </c>
      <c r="N1022" t="s">
        <v>80</v>
      </c>
    </row>
    <row r="1023" spans="1:14" x14ac:dyDescent="0.25">
      <c r="A1023" s="143" t="s">
        <v>4330</v>
      </c>
      <c r="B1023" s="114"/>
      <c r="C1023" t="s">
        <v>4427</v>
      </c>
      <c r="D1023" s="91"/>
      <c r="G1023" s="91" t="s">
        <v>5654</v>
      </c>
      <c r="H1023" s="91" t="s">
        <v>5655</v>
      </c>
      <c r="L1023" s="13">
        <v>0</v>
      </c>
      <c r="M1023" t="s">
        <v>100</v>
      </c>
      <c r="N1023" t="s">
        <v>80</v>
      </c>
    </row>
    <row r="1024" spans="1:14" x14ac:dyDescent="0.25">
      <c r="A1024" s="143" t="s">
        <v>4330</v>
      </c>
      <c r="B1024" s="114"/>
      <c r="C1024" t="s">
        <v>4433</v>
      </c>
      <c r="D1024" s="91"/>
      <c r="G1024" s="91" t="s">
        <v>5666</v>
      </c>
      <c r="H1024" s="91" t="s">
        <v>5667</v>
      </c>
      <c r="L1024" s="13">
        <v>0</v>
      </c>
      <c r="M1024" t="s">
        <v>6380</v>
      </c>
      <c r="N1024" t="s">
        <v>80</v>
      </c>
    </row>
    <row r="1025" spans="1:14" x14ac:dyDescent="0.25">
      <c r="A1025" s="143" t="s">
        <v>4330</v>
      </c>
      <c r="B1025" s="114"/>
      <c r="C1025" t="s">
        <v>4359</v>
      </c>
      <c r="D1025" s="91"/>
      <c r="G1025" s="91" t="s">
        <v>5507</v>
      </c>
      <c r="H1025" s="91" t="s">
        <v>5508</v>
      </c>
      <c r="L1025" s="13">
        <v>0</v>
      </c>
      <c r="M1025" t="s">
        <v>6353</v>
      </c>
      <c r="N1025" t="s">
        <v>80</v>
      </c>
    </row>
    <row r="1026" spans="1:14" x14ac:dyDescent="0.25">
      <c r="A1026" s="143" t="s">
        <v>4330</v>
      </c>
      <c r="B1026" s="114"/>
      <c r="C1026" t="s">
        <v>4405</v>
      </c>
      <c r="D1026" s="91"/>
      <c r="G1026" s="91" t="s">
        <v>5604</v>
      </c>
      <c r="H1026" s="91" t="s">
        <v>5605</v>
      </c>
      <c r="L1026" s="13">
        <v>0</v>
      </c>
      <c r="M1026" t="s">
        <v>262</v>
      </c>
      <c r="N1026" t="s">
        <v>80</v>
      </c>
    </row>
    <row r="1027" spans="1:14" x14ac:dyDescent="0.25">
      <c r="A1027" s="143" t="s">
        <v>4330</v>
      </c>
      <c r="B1027" s="114"/>
      <c r="C1027" t="s">
        <v>4365</v>
      </c>
      <c r="D1027" s="91"/>
      <c r="G1027" s="91" t="s">
        <v>5519</v>
      </c>
      <c r="H1027" s="91" t="s">
        <v>5520</v>
      </c>
      <c r="L1027" s="13">
        <v>0</v>
      </c>
      <c r="M1027" t="s">
        <v>6373</v>
      </c>
      <c r="N1027" t="s">
        <v>80</v>
      </c>
    </row>
    <row r="1028" spans="1:14" x14ac:dyDescent="0.25">
      <c r="A1028" s="143" t="s">
        <v>4330</v>
      </c>
      <c r="B1028" s="114"/>
      <c r="C1028" t="s">
        <v>4389</v>
      </c>
      <c r="D1028" s="91"/>
      <c r="G1028" s="91" t="s">
        <v>5566</v>
      </c>
      <c r="H1028" s="91" t="s">
        <v>5567</v>
      </c>
      <c r="L1028" s="13">
        <v>0</v>
      </c>
      <c r="M1028" t="s">
        <v>262</v>
      </c>
      <c r="N1028" t="s">
        <v>80</v>
      </c>
    </row>
    <row r="1029" spans="1:14" x14ac:dyDescent="0.25">
      <c r="A1029" s="143" t="s">
        <v>4330</v>
      </c>
      <c r="B1029" s="114"/>
      <c r="C1029" t="s">
        <v>4438</v>
      </c>
      <c r="D1029" s="91"/>
      <c r="G1029" s="91" t="s">
        <v>5680</v>
      </c>
      <c r="H1029" s="91" t="s">
        <v>5681</v>
      </c>
      <c r="L1029" s="13">
        <v>0</v>
      </c>
      <c r="M1029" t="s">
        <v>163</v>
      </c>
      <c r="N1029" t="s">
        <v>80</v>
      </c>
    </row>
    <row r="1030" spans="1:14" x14ac:dyDescent="0.25">
      <c r="A1030" s="143" t="s">
        <v>4330</v>
      </c>
      <c r="B1030" s="114"/>
      <c r="C1030" t="s">
        <v>4391</v>
      </c>
      <c r="D1030" s="91"/>
      <c r="G1030" s="91" t="s">
        <v>5570</v>
      </c>
      <c r="H1030" s="91" t="s">
        <v>5571</v>
      </c>
      <c r="L1030" s="13">
        <v>0</v>
      </c>
      <c r="M1030" t="s">
        <v>262</v>
      </c>
      <c r="N1030" t="s">
        <v>80</v>
      </c>
    </row>
    <row r="1031" spans="1:14" x14ac:dyDescent="0.25">
      <c r="A1031" s="143" t="s">
        <v>4330</v>
      </c>
      <c r="B1031" s="114"/>
      <c r="C1031" t="s">
        <v>4337</v>
      </c>
      <c r="D1031" s="91"/>
      <c r="G1031" s="91" t="s">
        <v>5459</v>
      </c>
      <c r="H1031" s="91" t="s">
        <v>5460</v>
      </c>
      <c r="L1031" s="13">
        <v>0</v>
      </c>
      <c r="M1031" t="s">
        <v>195</v>
      </c>
      <c r="N1031" t="s">
        <v>80</v>
      </c>
    </row>
    <row r="1032" spans="1:14" x14ac:dyDescent="0.25">
      <c r="A1032" s="143" t="s">
        <v>4330</v>
      </c>
      <c r="B1032" s="114"/>
      <c r="C1032" t="s">
        <v>4447</v>
      </c>
      <c r="D1032" s="91"/>
      <c r="G1032" s="91" t="s">
        <v>5698</v>
      </c>
      <c r="H1032" s="91" t="s">
        <v>5699</v>
      </c>
      <c r="L1032" s="13">
        <v>0</v>
      </c>
      <c r="M1032" t="s">
        <v>6384</v>
      </c>
      <c r="N1032" t="s">
        <v>80</v>
      </c>
    </row>
    <row r="1033" spans="1:14" x14ac:dyDescent="0.25">
      <c r="A1033" s="143" t="s">
        <v>4330</v>
      </c>
      <c r="B1033" s="114"/>
      <c r="C1033" t="s">
        <v>4434</v>
      </c>
      <c r="D1033" s="91"/>
      <c r="G1033" s="94" t="s">
        <v>5668</v>
      </c>
      <c r="H1033" s="94" t="s">
        <v>5669</v>
      </c>
      <c r="L1033" s="13">
        <v>0</v>
      </c>
      <c r="M1033" t="s">
        <v>163</v>
      </c>
      <c r="N1033" t="s">
        <v>80</v>
      </c>
    </row>
    <row r="1034" spans="1:14" x14ac:dyDescent="0.25">
      <c r="A1034" s="143" t="s">
        <v>4330</v>
      </c>
      <c r="B1034" s="114"/>
      <c r="C1034" t="s">
        <v>4332</v>
      </c>
      <c r="D1034" s="91"/>
      <c r="G1034" s="91" t="s">
        <v>5449</v>
      </c>
      <c r="H1034" s="91" t="s">
        <v>5450</v>
      </c>
      <c r="L1034" s="13">
        <v>0</v>
      </c>
      <c r="M1034" t="s">
        <v>139</v>
      </c>
      <c r="N1034" t="s">
        <v>80</v>
      </c>
    </row>
    <row r="1035" spans="1:14" x14ac:dyDescent="0.25">
      <c r="A1035" s="143" t="s">
        <v>4330</v>
      </c>
      <c r="B1035" s="114"/>
      <c r="C1035" t="s">
        <v>4392</v>
      </c>
      <c r="D1035" s="91"/>
      <c r="G1035" s="91" t="s">
        <v>5574</v>
      </c>
      <c r="H1035" s="91" t="s">
        <v>5575</v>
      </c>
      <c r="L1035" s="13">
        <v>0</v>
      </c>
      <c r="M1035" t="s">
        <v>262</v>
      </c>
      <c r="N1035" t="s">
        <v>80</v>
      </c>
    </row>
    <row r="1036" spans="1:14" x14ac:dyDescent="0.25">
      <c r="A1036" s="143" t="s">
        <v>4330</v>
      </c>
      <c r="B1036" s="114"/>
      <c r="C1036" t="s">
        <v>1881</v>
      </c>
      <c r="D1036" s="91"/>
      <c r="G1036" s="91" t="s">
        <v>5572</v>
      </c>
      <c r="H1036" s="91" t="s">
        <v>5573</v>
      </c>
      <c r="L1036" s="13">
        <v>0</v>
      </c>
      <c r="M1036" t="s">
        <v>262</v>
      </c>
      <c r="N1036" t="s">
        <v>80</v>
      </c>
    </row>
    <row r="1037" spans="1:14" x14ac:dyDescent="0.25">
      <c r="A1037" s="143" t="s">
        <v>4330</v>
      </c>
      <c r="B1037" s="114"/>
      <c r="C1037" t="s">
        <v>4448</v>
      </c>
      <c r="D1037" s="91"/>
      <c r="G1037" s="91" t="s">
        <v>5702</v>
      </c>
      <c r="H1037" s="91" t="s">
        <v>5703</v>
      </c>
      <c r="L1037" s="13">
        <v>0</v>
      </c>
      <c r="M1037" t="s">
        <v>157</v>
      </c>
      <c r="N1037" t="s">
        <v>80</v>
      </c>
    </row>
    <row r="1038" spans="1:14" x14ac:dyDescent="0.25">
      <c r="A1038" s="143" t="s">
        <v>4330</v>
      </c>
      <c r="B1038" s="114"/>
      <c r="C1038" t="s">
        <v>1879</v>
      </c>
      <c r="D1038" s="91"/>
      <c r="G1038" s="91" t="s">
        <v>5678</v>
      </c>
      <c r="H1038" s="91" t="s">
        <v>5679</v>
      </c>
      <c r="L1038" s="13">
        <v>0</v>
      </c>
      <c r="M1038" t="s">
        <v>163</v>
      </c>
      <c r="N1038" t="s">
        <v>80</v>
      </c>
    </row>
    <row r="1039" spans="1:14" x14ac:dyDescent="0.25">
      <c r="A1039" s="143" t="s">
        <v>4330</v>
      </c>
      <c r="B1039" s="114"/>
      <c r="C1039" t="s">
        <v>4338</v>
      </c>
      <c r="D1039" s="91"/>
      <c r="G1039" s="91" t="s">
        <v>5461</v>
      </c>
      <c r="H1039" s="91" t="s">
        <v>5462</v>
      </c>
      <c r="L1039" s="13">
        <v>0</v>
      </c>
      <c r="M1039" t="s">
        <v>195</v>
      </c>
      <c r="N1039" t="s">
        <v>80</v>
      </c>
    </row>
    <row r="1040" spans="1:14" x14ac:dyDescent="0.25">
      <c r="A1040" s="143" t="s">
        <v>4330</v>
      </c>
      <c r="B1040" s="114"/>
      <c r="C1040" t="s">
        <v>4339</v>
      </c>
      <c r="D1040" s="91"/>
      <c r="G1040" s="91" t="s">
        <v>5463</v>
      </c>
      <c r="H1040" s="91" t="s">
        <v>5464</v>
      </c>
      <c r="L1040" s="13">
        <v>0</v>
      </c>
      <c r="M1040" t="s">
        <v>195</v>
      </c>
      <c r="N1040" t="s">
        <v>80</v>
      </c>
    </row>
    <row r="1041" spans="1:14" x14ac:dyDescent="0.25">
      <c r="A1041" s="143" t="s">
        <v>4330</v>
      </c>
      <c r="B1041" s="114"/>
      <c r="C1041" t="s">
        <v>4395</v>
      </c>
      <c r="D1041" s="91"/>
      <c r="G1041" s="91" t="s">
        <v>5580</v>
      </c>
      <c r="H1041" s="91" t="s">
        <v>5581</v>
      </c>
      <c r="L1041" s="13">
        <v>0</v>
      </c>
      <c r="M1041" t="s">
        <v>262</v>
      </c>
      <c r="N1041" t="s">
        <v>80</v>
      </c>
    </row>
    <row r="1042" spans="1:14" x14ac:dyDescent="0.25">
      <c r="A1042" s="143" t="s">
        <v>4330</v>
      </c>
      <c r="B1042" s="114"/>
      <c r="C1042" t="s">
        <v>4412</v>
      </c>
      <c r="D1042" s="91"/>
      <c r="G1042" s="91" t="s">
        <v>5618</v>
      </c>
      <c r="H1042" s="91" t="s">
        <v>5619</v>
      </c>
      <c r="L1042" s="13">
        <v>0</v>
      </c>
      <c r="M1042" t="s">
        <v>6377</v>
      </c>
      <c r="N1042" t="s">
        <v>80</v>
      </c>
    </row>
    <row r="1043" spans="1:14" x14ac:dyDescent="0.25">
      <c r="A1043" s="143" t="s">
        <v>4330</v>
      </c>
      <c r="B1043" s="114"/>
      <c r="C1043" t="s">
        <v>4414</v>
      </c>
      <c r="D1043" s="91"/>
      <c r="G1043" s="91" t="s">
        <v>5624</v>
      </c>
      <c r="H1043" s="91" t="s">
        <v>5625</v>
      </c>
      <c r="L1043" s="13">
        <v>0</v>
      </c>
      <c r="M1043" t="s">
        <v>139</v>
      </c>
      <c r="N1043" t="s">
        <v>80</v>
      </c>
    </row>
    <row r="1044" spans="1:14" x14ac:dyDescent="0.25">
      <c r="A1044" s="143" t="s">
        <v>4330</v>
      </c>
      <c r="B1044" s="114"/>
      <c r="C1044" t="s">
        <v>4396</v>
      </c>
      <c r="D1044" s="91"/>
      <c r="G1044" s="91" t="s">
        <v>5582</v>
      </c>
      <c r="H1044" s="91" t="s">
        <v>5583</v>
      </c>
      <c r="L1044" s="13">
        <v>0</v>
      </c>
      <c r="M1044" t="s">
        <v>262</v>
      </c>
      <c r="N1044" t="s">
        <v>80</v>
      </c>
    </row>
    <row r="1045" spans="1:14" x14ac:dyDescent="0.25">
      <c r="A1045" s="143" t="s">
        <v>4330</v>
      </c>
      <c r="B1045" s="114"/>
      <c r="C1045" t="s">
        <v>4342</v>
      </c>
      <c r="D1045" s="91"/>
      <c r="G1045" s="91" t="s">
        <v>5471</v>
      </c>
      <c r="H1045" s="91" t="s">
        <v>5472</v>
      </c>
      <c r="L1045" s="13">
        <v>0</v>
      </c>
      <c r="M1045" t="s">
        <v>6365</v>
      </c>
      <c r="N1045" t="s">
        <v>80</v>
      </c>
    </row>
    <row r="1046" spans="1:14" x14ac:dyDescent="0.25">
      <c r="A1046" s="143" t="s">
        <v>4330</v>
      </c>
      <c r="B1046" s="114"/>
      <c r="C1046" t="s">
        <v>4343</v>
      </c>
      <c r="D1046" s="91"/>
      <c r="G1046" s="91" t="s">
        <v>5473</v>
      </c>
      <c r="H1046" s="91" t="s">
        <v>5474</v>
      </c>
      <c r="L1046" s="13">
        <v>0</v>
      </c>
      <c r="M1046" t="s">
        <v>6366</v>
      </c>
      <c r="N1046" t="s">
        <v>80</v>
      </c>
    </row>
    <row r="1047" spans="1:14" x14ac:dyDescent="0.25">
      <c r="A1047" s="143" t="s">
        <v>4330</v>
      </c>
      <c r="B1047" s="114"/>
      <c r="C1047" t="s">
        <v>4368</v>
      </c>
      <c r="D1047" s="91"/>
      <c r="G1047" s="91" t="s">
        <v>5524</v>
      </c>
      <c r="H1047" s="91" t="s">
        <v>5525</v>
      </c>
      <c r="L1047" s="13">
        <v>0</v>
      </c>
      <c r="M1047" t="s">
        <v>6356</v>
      </c>
      <c r="N1047" t="s">
        <v>80</v>
      </c>
    </row>
    <row r="1048" spans="1:14" x14ac:dyDescent="0.25">
      <c r="A1048" s="143" t="s">
        <v>4330</v>
      </c>
      <c r="B1048" s="114"/>
      <c r="C1048" t="s">
        <v>4357</v>
      </c>
      <c r="D1048" s="91"/>
      <c r="G1048" s="91" t="s">
        <v>5503</v>
      </c>
      <c r="H1048" s="91" t="s">
        <v>5504</v>
      </c>
      <c r="L1048" s="13">
        <v>0</v>
      </c>
      <c r="M1048" t="s">
        <v>6371</v>
      </c>
      <c r="N1048" t="s">
        <v>80</v>
      </c>
    </row>
    <row r="1049" spans="1:14" x14ac:dyDescent="0.25">
      <c r="A1049" s="143" t="s">
        <v>4330</v>
      </c>
      <c r="B1049" s="114"/>
      <c r="C1049" t="s">
        <v>4399</v>
      </c>
      <c r="D1049" s="91"/>
      <c r="G1049" s="91" t="s">
        <v>5588</v>
      </c>
      <c r="H1049" s="91" t="s">
        <v>5589</v>
      </c>
      <c r="L1049" s="13">
        <v>0</v>
      </c>
      <c r="M1049" t="s">
        <v>262</v>
      </c>
      <c r="N1049" t="s">
        <v>80</v>
      </c>
    </row>
    <row r="1050" spans="1:14" x14ac:dyDescent="0.25">
      <c r="A1050" s="143" t="s">
        <v>4330</v>
      </c>
      <c r="B1050" s="114"/>
      <c r="C1050" t="s">
        <v>4340</v>
      </c>
      <c r="G1050" s="91" t="s">
        <v>5465</v>
      </c>
      <c r="H1050" s="91" t="s">
        <v>5466</v>
      </c>
      <c r="L1050" s="13">
        <v>0</v>
      </c>
      <c r="M1050" t="s">
        <v>195</v>
      </c>
      <c r="N1050" t="s">
        <v>80</v>
      </c>
    </row>
    <row r="1051" spans="1:14" x14ac:dyDescent="0.25">
      <c r="A1051" s="143" t="s">
        <v>4330</v>
      </c>
      <c r="B1051" s="114"/>
      <c r="C1051" t="s">
        <v>4369</v>
      </c>
      <c r="D1051" s="91"/>
      <c r="G1051" s="91" t="s">
        <v>5526</v>
      </c>
      <c r="H1051" s="91" t="s">
        <v>5527</v>
      </c>
      <c r="L1051" s="13">
        <v>0</v>
      </c>
      <c r="M1051" t="s">
        <v>6356</v>
      </c>
      <c r="N1051" t="s">
        <v>80</v>
      </c>
    </row>
    <row r="1052" spans="1:14" x14ac:dyDescent="0.25">
      <c r="A1052" s="143" t="s">
        <v>4330</v>
      </c>
      <c r="B1052" s="114"/>
      <c r="C1052" t="s">
        <v>4411</v>
      </c>
      <c r="D1052" s="91"/>
      <c r="G1052" s="91" t="s">
        <v>5616</v>
      </c>
      <c r="H1052" s="91" t="s">
        <v>5617</v>
      </c>
      <c r="L1052" s="13">
        <v>0</v>
      </c>
      <c r="M1052" t="s">
        <v>6377</v>
      </c>
      <c r="N1052" t="s">
        <v>80</v>
      </c>
    </row>
    <row r="1053" spans="1:14" x14ac:dyDescent="0.25">
      <c r="A1053" s="143" t="s">
        <v>4330</v>
      </c>
      <c r="B1053" s="114"/>
      <c r="C1053" t="s">
        <v>1882</v>
      </c>
      <c r="D1053" s="91"/>
      <c r="G1053" s="91" t="s">
        <v>5590</v>
      </c>
      <c r="H1053" s="91" t="s">
        <v>5591</v>
      </c>
      <c r="L1053" s="13">
        <v>0</v>
      </c>
      <c r="M1053" t="s">
        <v>262</v>
      </c>
      <c r="N1053" t="s">
        <v>80</v>
      </c>
    </row>
    <row r="1054" spans="1:14" x14ac:dyDescent="0.25">
      <c r="A1054" s="143" t="s">
        <v>4330</v>
      </c>
      <c r="B1054" s="114"/>
      <c r="C1054" t="s">
        <v>1885</v>
      </c>
      <c r="D1054" s="91"/>
      <c r="G1054" s="91" t="s">
        <v>5467</v>
      </c>
      <c r="H1054" s="91" t="s">
        <v>5468</v>
      </c>
      <c r="L1054" s="13">
        <v>0</v>
      </c>
      <c r="M1054" t="s">
        <v>195</v>
      </c>
      <c r="N1054" t="s">
        <v>80</v>
      </c>
    </row>
    <row r="1055" spans="1:14" x14ac:dyDescent="0.25">
      <c r="A1055" s="143" t="s">
        <v>4330</v>
      </c>
      <c r="B1055" s="114"/>
      <c r="C1055" t="s">
        <v>4439</v>
      </c>
      <c r="D1055" s="91"/>
      <c r="G1055" s="91" t="s">
        <v>5682</v>
      </c>
      <c r="H1055" s="91" t="s">
        <v>5683</v>
      </c>
      <c r="L1055" s="13">
        <v>0</v>
      </c>
      <c r="M1055" t="s">
        <v>163</v>
      </c>
      <c r="N1055" t="s">
        <v>80</v>
      </c>
    </row>
    <row r="1056" spans="1:14" x14ac:dyDescent="0.25">
      <c r="A1056" s="143" t="s">
        <v>4330</v>
      </c>
      <c r="B1056" s="114"/>
      <c r="C1056" t="s">
        <v>4442</v>
      </c>
      <c r="D1056" s="91"/>
      <c r="G1056" s="91" t="s">
        <v>5688</v>
      </c>
      <c r="H1056" s="91" t="s">
        <v>5689</v>
      </c>
      <c r="L1056" s="13">
        <v>0</v>
      </c>
      <c r="M1056" t="s">
        <v>6381</v>
      </c>
      <c r="N1056" t="s">
        <v>80</v>
      </c>
    </row>
    <row r="1057" spans="1:14" x14ac:dyDescent="0.25">
      <c r="A1057" s="143" t="s">
        <v>4330</v>
      </c>
      <c r="B1057" s="114"/>
      <c r="C1057" t="s">
        <v>4400</v>
      </c>
      <c r="D1057" s="91"/>
      <c r="G1057" s="91" t="s">
        <v>5592</v>
      </c>
      <c r="H1057" s="91" t="s">
        <v>5593</v>
      </c>
      <c r="L1057" s="13">
        <v>0</v>
      </c>
      <c r="M1057" t="s">
        <v>262</v>
      </c>
      <c r="N1057" t="s">
        <v>80</v>
      </c>
    </row>
    <row r="1058" spans="1:14" x14ac:dyDescent="0.25">
      <c r="A1058" s="143" t="s">
        <v>4330</v>
      </c>
      <c r="B1058" s="114"/>
      <c r="C1058" t="s">
        <v>4419</v>
      </c>
      <c r="D1058" s="91"/>
      <c r="G1058" s="91" t="s">
        <v>5636</v>
      </c>
      <c r="H1058" s="91" t="s">
        <v>5637</v>
      </c>
      <c r="L1058" s="13">
        <v>0</v>
      </c>
      <c r="M1058" t="s">
        <v>6378</v>
      </c>
      <c r="N1058" t="s">
        <v>80</v>
      </c>
    </row>
    <row r="1059" spans="1:14" x14ac:dyDescent="0.25">
      <c r="A1059" s="143" t="s">
        <v>4330</v>
      </c>
      <c r="B1059" s="114"/>
      <c r="C1059" t="s">
        <v>4420</v>
      </c>
      <c r="D1059" s="91"/>
      <c r="G1059" s="91" t="s">
        <v>5638</v>
      </c>
      <c r="H1059" s="91" t="s">
        <v>5639</v>
      </c>
      <c r="L1059" s="13">
        <v>0</v>
      </c>
      <c r="M1059" t="s">
        <v>6378</v>
      </c>
      <c r="N1059" t="s">
        <v>80</v>
      </c>
    </row>
    <row r="1060" spans="1:14" x14ac:dyDescent="0.25">
      <c r="A1060" s="143" t="s">
        <v>4330</v>
      </c>
      <c r="B1060" s="114"/>
      <c r="C1060" t="s">
        <v>1886</v>
      </c>
      <c r="D1060" s="91"/>
      <c r="G1060" s="91" t="s">
        <v>5477</v>
      </c>
      <c r="H1060" s="91" t="s">
        <v>5478</v>
      </c>
      <c r="L1060" s="13">
        <v>0</v>
      </c>
      <c r="M1060" t="s">
        <v>1888</v>
      </c>
      <c r="N1060" t="s">
        <v>80</v>
      </c>
    </row>
    <row r="1061" spans="1:14" x14ac:dyDescent="0.25">
      <c r="A1061" s="143" t="s">
        <v>4330</v>
      </c>
      <c r="B1061" s="114"/>
      <c r="C1061" t="s">
        <v>4443</v>
      </c>
      <c r="D1061" s="91"/>
      <c r="G1061" s="91" t="s">
        <v>5690</v>
      </c>
      <c r="H1061" s="91" t="s">
        <v>5691</v>
      </c>
      <c r="L1061" s="13">
        <v>0</v>
      </c>
      <c r="M1061" t="s">
        <v>6381</v>
      </c>
      <c r="N1061" t="s">
        <v>80</v>
      </c>
    </row>
    <row r="1062" spans="1:14" x14ac:dyDescent="0.25">
      <c r="A1062" s="143" t="s">
        <v>4330</v>
      </c>
      <c r="B1062" s="114"/>
      <c r="C1062" t="s">
        <v>4416</v>
      </c>
      <c r="D1062" s="91"/>
      <c r="G1062" s="91" t="s">
        <v>5628</v>
      </c>
      <c r="H1062" s="91" t="s">
        <v>5629</v>
      </c>
      <c r="L1062" s="13">
        <v>0</v>
      </c>
      <c r="M1062" t="s">
        <v>266</v>
      </c>
      <c r="N1062" t="s">
        <v>80</v>
      </c>
    </row>
    <row r="1063" spans="1:14" x14ac:dyDescent="0.25">
      <c r="A1063" s="143" t="s">
        <v>4330</v>
      </c>
      <c r="B1063" s="114"/>
      <c r="C1063" t="s">
        <v>4334</v>
      </c>
      <c r="D1063" s="91"/>
      <c r="G1063" s="91" t="s">
        <v>5453</v>
      </c>
      <c r="H1063" s="91" t="s">
        <v>5454</v>
      </c>
      <c r="L1063" s="13">
        <v>0</v>
      </c>
      <c r="M1063" t="s">
        <v>195</v>
      </c>
      <c r="N1063" t="s">
        <v>80</v>
      </c>
    </row>
    <row r="1064" spans="1:14" x14ac:dyDescent="0.25">
      <c r="A1064" s="143" t="s">
        <v>4330</v>
      </c>
      <c r="B1064" s="114"/>
      <c r="C1064" t="s">
        <v>1880</v>
      </c>
      <c r="D1064" s="91"/>
      <c r="G1064" s="91" t="s">
        <v>5598</v>
      </c>
      <c r="H1064" s="91" t="s">
        <v>5599</v>
      </c>
      <c r="L1064" s="13">
        <v>0</v>
      </c>
      <c r="M1064" t="s">
        <v>262</v>
      </c>
      <c r="N1064" t="s">
        <v>80</v>
      </c>
    </row>
    <row r="1065" spans="1:14" x14ac:dyDescent="0.25">
      <c r="A1065" s="143" t="s">
        <v>4330</v>
      </c>
      <c r="B1065" s="114"/>
      <c r="C1065" t="s">
        <v>4370</v>
      </c>
      <c r="D1065" s="91"/>
      <c r="G1065" s="91" t="s">
        <v>5528</v>
      </c>
      <c r="H1065" s="91" t="s">
        <v>5529</v>
      </c>
      <c r="L1065" s="13">
        <v>0</v>
      </c>
      <c r="M1065" t="s">
        <v>6356</v>
      </c>
      <c r="N1065" t="s">
        <v>80</v>
      </c>
    </row>
    <row r="1066" spans="1:14" x14ac:dyDescent="0.25">
      <c r="A1066" s="143" t="s">
        <v>4330</v>
      </c>
      <c r="B1066" s="114"/>
      <c r="C1066" t="s">
        <v>4397</v>
      </c>
      <c r="D1066" s="91"/>
      <c r="G1066" s="91" t="s">
        <v>5584</v>
      </c>
      <c r="H1066" s="91" t="s">
        <v>5585</v>
      </c>
      <c r="L1066" s="13">
        <v>0</v>
      </c>
      <c r="M1066" t="s">
        <v>262</v>
      </c>
      <c r="N1066" t="s">
        <v>80</v>
      </c>
    </row>
    <row r="1067" spans="1:14" x14ac:dyDescent="0.25">
      <c r="A1067" s="143" t="s">
        <v>4330</v>
      </c>
      <c r="B1067" s="114"/>
      <c r="C1067" t="s">
        <v>4394</v>
      </c>
      <c r="D1067" s="91"/>
      <c r="G1067" s="91" t="s">
        <v>5578</v>
      </c>
      <c r="H1067" s="91" t="s">
        <v>5579</v>
      </c>
      <c r="L1067" s="13">
        <v>0</v>
      </c>
      <c r="M1067" t="s">
        <v>262</v>
      </c>
      <c r="N1067" t="s">
        <v>80</v>
      </c>
    </row>
    <row r="1068" spans="1:14" x14ac:dyDescent="0.25">
      <c r="A1068" s="143" t="s">
        <v>4330</v>
      </c>
      <c r="B1068" s="114"/>
      <c r="C1068" t="s">
        <v>4360</v>
      </c>
      <c r="D1068" s="91"/>
      <c r="G1068" s="91" t="s">
        <v>5509</v>
      </c>
      <c r="H1068" s="91" t="s">
        <v>5510</v>
      </c>
      <c r="L1068" s="13">
        <v>0</v>
      </c>
      <c r="M1068" t="s">
        <v>6353</v>
      </c>
      <c r="N1068" t="s">
        <v>80</v>
      </c>
    </row>
    <row r="1069" spans="1:14" x14ac:dyDescent="0.25">
      <c r="A1069" s="143" t="s">
        <v>4330</v>
      </c>
      <c r="B1069" s="114"/>
      <c r="C1069" t="s">
        <v>4402</v>
      </c>
      <c r="D1069" s="91"/>
      <c r="G1069" s="91" t="s">
        <v>5596</v>
      </c>
      <c r="H1069" s="91" t="s">
        <v>5597</v>
      </c>
      <c r="L1069" s="13">
        <v>0</v>
      </c>
      <c r="M1069" t="s">
        <v>262</v>
      </c>
      <c r="N1069" t="s">
        <v>80</v>
      </c>
    </row>
    <row r="1070" spans="1:14" x14ac:dyDescent="0.25">
      <c r="A1070" s="143" t="s">
        <v>4330</v>
      </c>
      <c r="B1070" s="114"/>
      <c r="C1070" t="s">
        <v>4386</v>
      </c>
      <c r="D1070" s="91"/>
      <c r="G1070" s="91" t="s">
        <v>5560</v>
      </c>
      <c r="H1070" s="91" t="s">
        <v>5561</v>
      </c>
      <c r="L1070" s="13">
        <v>0</v>
      </c>
      <c r="M1070" t="s">
        <v>262</v>
      </c>
      <c r="N1070" t="s">
        <v>80</v>
      </c>
    </row>
    <row r="1071" spans="1:14" x14ac:dyDescent="0.25">
      <c r="A1071" s="143" t="s">
        <v>4330</v>
      </c>
      <c r="B1071" s="114"/>
      <c r="C1071" t="s">
        <v>4401</v>
      </c>
      <c r="D1071" s="91"/>
      <c r="G1071" s="91" t="s">
        <v>5594</v>
      </c>
      <c r="H1071" s="91" t="s">
        <v>5595</v>
      </c>
      <c r="L1071" s="13">
        <v>0</v>
      </c>
      <c r="M1071" t="s">
        <v>262</v>
      </c>
      <c r="N1071" t="s">
        <v>80</v>
      </c>
    </row>
    <row r="1072" spans="1:14" x14ac:dyDescent="0.25">
      <c r="A1072" s="143" t="s">
        <v>4330</v>
      </c>
      <c r="B1072" s="114"/>
      <c r="C1072" t="s">
        <v>4449</v>
      </c>
      <c r="D1072" s="91"/>
      <c r="G1072" s="91" t="s">
        <v>5704</v>
      </c>
      <c r="H1072" s="91" t="s">
        <v>5705</v>
      </c>
      <c r="L1072" s="13">
        <v>0</v>
      </c>
      <c r="M1072" t="s">
        <v>157</v>
      </c>
      <c r="N1072" t="s">
        <v>80</v>
      </c>
    </row>
    <row r="1073" spans="1:14" x14ac:dyDescent="0.25">
      <c r="A1073" s="143" t="s">
        <v>4330</v>
      </c>
      <c r="B1073" s="114"/>
      <c r="C1073" t="s">
        <v>4428</v>
      </c>
      <c r="D1073" s="91"/>
      <c r="G1073" s="91" t="s">
        <v>5656</v>
      </c>
      <c r="H1073" s="91" t="s">
        <v>5657</v>
      </c>
      <c r="L1073" s="13">
        <v>0</v>
      </c>
      <c r="M1073" t="s">
        <v>100</v>
      </c>
      <c r="N1073" t="s">
        <v>80</v>
      </c>
    </row>
    <row r="1074" spans="1:14" x14ac:dyDescent="0.25">
      <c r="A1074" s="143" t="s">
        <v>4330</v>
      </c>
      <c r="B1074" s="114"/>
      <c r="C1074" t="s">
        <v>4429</v>
      </c>
      <c r="D1074" s="91"/>
      <c r="G1074" s="91" t="s">
        <v>5658</v>
      </c>
      <c r="H1074" s="91" t="s">
        <v>5659</v>
      </c>
      <c r="L1074" s="13">
        <v>0</v>
      </c>
      <c r="M1074" t="s">
        <v>100</v>
      </c>
      <c r="N1074" t="s">
        <v>80</v>
      </c>
    </row>
    <row r="1075" spans="1:14" x14ac:dyDescent="0.25">
      <c r="A1075" s="143" t="s">
        <v>4330</v>
      </c>
      <c r="B1075" s="114"/>
      <c r="C1075" t="s">
        <v>4440</v>
      </c>
      <c r="D1075" s="91"/>
      <c r="G1075" s="91" t="s">
        <v>5684</v>
      </c>
      <c r="H1075" s="91" t="s">
        <v>5685</v>
      </c>
      <c r="L1075" s="13">
        <v>0</v>
      </c>
      <c r="M1075" t="s">
        <v>163</v>
      </c>
      <c r="N1075" t="s">
        <v>80</v>
      </c>
    </row>
    <row r="1076" spans="1:14" x14ac:dyDescent="0.25">
      <c r="A1076" s="143" t="s">
        <v>4330</v>
      </c>
      <c r="B1076" s="114"/>
      <c r="C1076" t="s">
        <v>4444</v>
      </c>
      <c r="D1076" s="91"/>
      <c r="G1076" s="91" t="s">
        <v>5692</v>
      </c>
      <c r="H1076" s="91" t="s">
        <v>5693</v>
      </c>
      <c r="L1076" s="13">
        <v>0</v>
      </c>
      <c r="M1076" t="s">
        <v>6381</v>
      </c>
      <c r="N1076" t="s">
        <v>80</v>
      </c>
    </row>
    <row r="1077" spans="1:14" x14ac:dyDescent="0.25">
      <c r="A1077" s="143" t="s">
        <v>4330</v>
      </c>
      <c r="B1077" s="114"/>
      <c r="C1077" t="s">
        <v>4366</v>
      </c>
      <c r="D1077" s="91"/>
      <c r="G1077" s="91" t="s">
        <v>5521</v>
      </c>
      <c r="H1077" s="91" t="s">
        <v>485</v>
      </c>
      <c r="L1077" s="13">
        <v>0</v>
      </c>
      <c r="M1077" t="s">
        <v>6356</v>
      </c>
      <c r="N1077" t="s">
        <v>80</v>
      </c>
    </row>
    <row r="1078" spans="1:14" x14ac:dyDescent="0.25">
      <c r="A1078" s="143" t="s">
        <v>4330</v>
      </c>
      <c r="B1078" s="114"/>
      <c r="C1078" t="s">
        <v>4378</v>
      </c>
      <c r="D1078" s="91"/>
      <c r="G1078" s="91" t="s">
        <v>5544</v>
      </c>
      <c r="H1078" s="91" t="s">
        <v>5545</v>
      </c>
      <c r="L1078" s="13">
        <v>0</v>
      </c>
      <c r="M1078" t="s">
        <v>6361</v>
      </c>
      <c r="N1078" t="s">
        <v>80</v>
      </c>
    </row>
    <row r="1079" spans="1:14" x14ac:dyDescent="0.25">
      <c r="A1079" s="143" t="s">
        <v>4330</v>
      </c>
      <c r="B1079" s="114"/>
      <c r="C1079" t="s">
        <v>4406</v>
      </c>
      <c r="D1079" s="91"/>
      <c r="G1079" s="91" t="s">
        <v>5606</v>
      </c>
      <c r="H1079" s="91" t="s">
        <v>5607</v>
      </c>
      <c r="L1079" s="13">
        <v>0</v>
      </c>
      <c r="M1079" t="s">
        <v>262</v>
      </c>
      <c r="N1079" t="s">
        <v>80</v>
      </c>
    </row>
    <row r="1080" spans="1:14" x14ac:dyDescent="0.25">
      <c r="A1080" s="143" t="s">
        <v>4330</v>
      </c>
      <c r="B1080" s="114"/>
      <c r="C1080" t="s">
        <v>4404</v>
      </c>
      <c r="D1080" s="91"/>
      <c r="G1080" s="91" t="s">
        <v>5602</v>
      </c>
      <c r="H1080" s="91" t="s">
        <v>5603</v>
      </c>
      <c r="L1080" s="13">
        <v>0</v>
      </c>
      <c r="M1080" t="s">
        <v>262</v>
      </c>
      <c r="N1080" t="s">
        <v>80</v>
      </c>
    </row>
    <row r="1081" spans="1:14" x14ac:dyDescent="0.25">
      <c r="A1081" s="143" t="s">
        <v>4330</v>
      </c>
      <c r="B1081" s="114"/>
      <c r="C1081" t="s">
        <v>4403</v>
      </c>
      <c r="D1081" s="91"/>
      <c r="G1081" s="91" t="s">
        <v>5600</v>
      </c>
      <c r="H1081" s="91" t="s">
        <v>5601</v>
      </c>
      <c r="L1081" s="13">
        <v>0</v>
      </c>
      <c r="M1081" t="s">
        <v>262</v>
      </c>
      <c r="N1081" t="s">
        <v>80</v>
      </c>
    </row>
    <row r="1082" spans="1:14" x14ac:dyDescent="0.25">
      <c r="A1082" s="143" t="s">
        <v>4330</v>
      </c>
      <c r="B1082" s="114"/>
      <c r="C1082" t="s">
        <v>4407</v>
      </c>
      <c r="D1082" s="91"/>
      <c r="G1082" s="91" t="s">
        <v>5608</v>
      </c>
      <c r="H1082" s="91" t="s">
        <v>5609</v>
      </c>
      <c r="L1082" s="13">
        <v>0</v>
      </c>
      <c r="M1082" t="s">
        <v>262</v>
      </c>
      <c r="N1082" t="s">
        <v>80</v>
      </c>
    </row>
    <row r="1083" spans="1:14" x14ac:dyDescent="0.25">
      <c r="A1083" s="143" t="s">
        <v>4330</v>
      </c>
      <c r="B1083" s="114"/>
      <c r="C1083" t="s">
        <v>4422</v>
      </c>
      <c r="D1083" s="91"/>
      <c r="G1083" s="91" t="s">
        <v>5642</v>
      </c>
      <c r="H1083" s="91" t="s">
        <v>5643</v>
      </c>
      <c r="L1083" s="13">
        <v>0</v>
      </c>
      <c r="M1083" t="s">
        <v>6361</v>
      </c>
      <c r="N1083" t="s">
        <v>80</v>
      </c>
    </row>
    <row r="1084" spans="1:14" x14ac:dyDescent="0.25">
      <c r="A1084" s="143" t="s">
        <v>4330</v>
      </c>
      <c r="B1084" s="114"/>
      <c r="C1084" t="s">
        <v>4430</v>
      </c>
      <c r="D1084" s="91"/>
      <c r="G1084" s="91" t="s">
        <v>5660</v>
      </c>
      <c r="H1084" s="91" t="s">
        <v>5661</v>
      </c>
      <c r="L1084" s="13">
        <v>0</v>
      </c>
      <c r="M1084" t="s">
        <v>100</v>
      </c>
      <c r="N1084" t="s">
        <v>80</v>
      </c>
    </row>
    <row r="1085" spans="1:14" x14ac:dyDescent="0.25">
      <c r="A1085" s="143" t="s">
        <v>4330</v>
      </c>
      <c r="B1085" s="114"/>
      <c r="C1085" t="s">
        <v>4384</v>
      </c>
      <c r="D1085" s="91"/>
      <c r="G1085" s="92" t="s">
        <v>5556</v>
      </c>
      <c r="H1085" s="92" t="s">
        <v>5557</v>
      </c>
      <c r="L1085" s="13">
        <v>0</v>
      </c>
      <c r="M1085" t="s">
        <v>195</v>
      </c>
      <c r="N1085" t="s">
        <v>80</v>
      </c>
    </row>
    <row r="1086" spans="1:14" x14ac:dyDescent="0.25">
      <c r="A1086" s="143" t="s">
        <v>4330</v>
      </c>
      <c r="B1086" s="114"/>
      <c r="C1086" t="s">
        <v>4385</v>
      </c>
      <c r="D1086" s="91"/>
      <c r="G1086" s="92" t="s">
        <v>5558</v>
      </c>
      <c r="H1086" s="92" t="s">
        <v>5559</v>
      </c>
      <c r="L1086" s="13">
        <v>0</v>
      </c>
      <c r="M1086" t="s">
        <v>195</v>
      </c>
      <c r="N1086" t="s">
        <v>80</v>
      </c>
    </row>
    <row r="1087" spans="1:14" x14ac:dyDescent="0.25">
      <c r="A1087" t="s">
        <v>6945</v>
      </c>
      <c r="B1087" s="114">
        <v>-99</v>
      </c>
      <c r="C1087" t="s">
        <v>267</v>
      </c>
      <c r="D1087" s="91" t="s">
        <v>2063</v>
      </c>
      <c r="G1087" s="93" t="s">
        <v>480</v>
      </c>
      <c r="H1087" s="93" t="s">
        <v>481</v>
      </c>
      <c r="L1087" s="13" t="s">
        <v>605</v>
      </c>
      <c r="M1087" t="s">
        <v>153</v>
      </c>
      <c r="N1087" t="s">
        <v>80</v>
      </c>
    </row>
    <row r="1088" spans="1:14" x14ac:dyDescent="0.25">
      <c r="A1088" t="s">
        <v>6945</v>
      </c>
      <c r="B1088" s="114">
        <v>-99</v>
      </c>
      <c r="C1088" t="s">
        <v>4145</v>
      </c>
      <c r="D1088" s="91" t="s">
        <v>6581</v>
      </c>
      <c r="G1088" s="93" t="s">
        <v>465</v>
      </c>
      <c r="H1088" s="93" t="s">
        <v>5084</v>
      </c>
      <c r="L1088" s="13" t="s">
        <v>605</v>
      </c>
      <c r="M1088" t="s">
        <v>100</v>
      </c>
      <c r="N1088" t="s">
        <v>80</v>
      </c>
    </row>
    <row r="1089" spans="1:15" x14ac:dyDescent="0.25">
      <c r="A1089" s="123" t="s">
        <v>4711</v>
      </c>
      <c r="B1089" s="124">
        <v>0</v>
      </c>
      <c r="C1089" s="125" t="s">
        <v>93</v>
      </c>
      <c r="D1089" s="125" t="s">
        <v>1927</v>
      </c>
      <c r="E1089" s="126" t="s">
        <v>2139</v>
      </c>
      <c r="F1089" s="125" t="s">
        <v>2187</v>
      </c>
      <c r="G1089" s="125" t="s">
        <v>277</v>
      </c>
      <c r="H1089" s="125" t="s">
        <v>278</v>
      </c>
      <c r="I1089" s="125" t="s">
        <v>2320</v>
      </c>
      <c r="J1089" s="127"/>
      <c r="K1089" s="124">
        <v>1</v>
      </c>
      <c r="L1089" s="124" t="s">
        <v>605</v>
      </c>
      <c r="M1089" s="125" t="s">
        <v>91</v>
      </c>
      <c r="N1089" s="123" t="s">
        <v>80</v>
      </c>
      <c r="O1089" s="123"/>
    </row>
    <row r="1090" spans="1:15" x14ac:dyDescent="0.25">
      <c r="A1090" s="123" t="s">
        <v>4711</v>
      </c>
      <c r="B1090" s="124">
        <v>1</v>
      </c>
      <c r="C1090" s="125" t="s">
        <v>4144</v>
      </c>
      <c r="D1090" s="125" t="s">
        <v>6776</v>
      </c>
      <c r="E1090" s="126"/>
      <c r="F1090" s="125"/>
      <c r="G1090" s="125"/>
      <c r="H1090" s="125"/>
      <c r="I1090" s="125"/>
      <c r="J1090" s="127"/>
      <c r="K1090" s="124"/>
      <c r="L1090" s="124" t="s">
        <v>605</v>
      </c>
      <c r="M1090" s="125" t="s">
        <v>91</v>
      </c>
      <c r="N1090" s="123" t="s">
        <v>80</v>
      </c>
      <c r="O1090" s="123"/>
    </row>
    <row r="1091" spans="1:15" x14ac:dyDescent="0.25">
      <c r="A1091" s="143" t="s">
        <v>4711</v>
      </c>
      <c r="B1091" s="115">
        <v>2</v>
      </c>
      <c r="C1091" t="s">
        <v>4145</v>
      </c>
      <c r="D1091" s="91" t="s">
        <v>6775</v>
      </c>
      <c r="G1091" s="91" t="s">
        <v>465</v>
      </c>
      <c r="H1091" s="91" t="s">
        <v>5084</v>
      </c>
      <c r="L1091" s="13" t="s">
        <v>605</v>
      </c>
      <c r="M1091" s="61" t="s">
        <v>100</v>
      </c>
      <c r="N1091" t="s">
        <v>80</v>
      </c>
    </row>
    <row r="1092" spans="1:15" x14ac:dyDescent="0.25">
      <c r="A1092" s="123" t="s">
        <v>4711</v>
      </c>
      <c r="B1092" s="124">
        <v>3</v>
      </c>
      <c r="C1092" s="125" t="s">
        <v>6443</v>
      </c>
      <c r="D1092" s="125" t="s">
        <v>6746</v>
      </c>
      <c r="E1092" s="126"/>
      <c r="F1092" s="125"/>
      <c r="G1092" s="125"/>
      <c r="H1092" s="125"/>
      <c r="I1092" s="125"/>
      <c r="J1092" s="127"/>
      <c r="K1092" s="124"/>
      <c r="L1092" s="128" t="s">
        <v>605</v>
      </c>
      <c r="M1092" s="62" t="s">
        <v>91</v>
      </c>
      <c r="N1092" s="123" t="s">
        <v>80</v>
      </c>
      <c r="O1092" s="123"/>
    </row>
    <row r="1093" spans="1:15" x14ac:dyDescent="0.25">
      <c r="A1093" s="123" t="s">
        <v>4711</v>
      </c>
      <c r="B1093" s="124">
        <v>4</v>
      </c>
      <c r="C1093" s="125" t="s">
        <v>116</v>
      </c>
      <c r="D1093" s="127" t="s">
        <v>6747</v>
      </c>
      <c r="E1093" s="126"/>
      <c r="F1093" s="125"/>
      <c r="G1093" s="125"/>
      <c r="H1093" s="125"/>
      <c r="I1093" s="125"/>
      <c r="J1093" s="127"/>
      <c r="K1093" s="124"/>
      <c r="L1093" s="128" t="s">
        <v>605</v>
      </c>
      <c r="M1093" s="125" t="s">
        <v>100</v>
      </c>
      <c r="N1093" s="123" t="s">
        <v>80</v>
      </c>
      <c r="O1093" s="123"/>
    </row>
    <row r="1094" spans="1:15" x14ac:dyDescent="0.25">
      <c r="A1094" s="123" t="s">
        <v>4711</v>
      </c>
      <c r="B1094" s="124">
        <v>5</v>
      </c>
      <c r="C1094" s="125" t="s">
        <v>267</v>
      </c>
      <c r="D1094" s="125" t="s">
        <v>6496</v>
      </c>
      <c r="E1094" s="126" t="s">
        <v>1602</v>
      </c>
      <c r="F1094" s="125" t="s">
        <v>2232</v>
      </c>
      <c r="G1094" s="125" t="s">
        <v>480</v>
      </c>
      <c r="H1094" s="125" t="s">
        <v>481</v>
      </c>
      <c r="I1094" s="125" t="s">
        <v>2232</v>
      </c>
      <c r="J1094" s="127"/>
      <c r="K1094" s="124">
        <v>0</v>
      </c>
      <c r="L1094" s="128" t="s">
        <v>605</v>
      </c>
      <c r="M1094" s="125" t="s">
        <v>153</v>
      </c>
      <c r="N1094" s="123" t="s">
        <v>80</v>
      </c>
      <c r="O1094" s="123"/>
    </row>
    <row r="1095" spans="1:15" s="123" customFormat="1" x14ac:dyDescent="0.25">
      <c r="A1095" s="123" t="s">
        <v>4711</v>
      </c>
      <c r="B1095" s="124">
        <v>6</v>
      </c>
      <c r="C1095" s="125" t="s">
        <v>6946</v>
      </c>
      <c r="D1095" s="127" t="s">
        <v>6778</v>
      </c>
      <c r="E1095" s="126"/>
      <c r="F1095" s="125"/>
      <c r="G1095" s="125"/>
      <c r="H1095" s="125"/>
      <c r="I1095" s="125"/>
      <c r="J1095" s="127"/>
      <c r="K1095" s="124"/>
      <c r="L1095" s="128" t="s">
        <v>605</v>
      </c>
      <c r="M1095" s="125" t="s">
        <v>100</v>
      </c>
      <c r="N1095" s="123" t="s">
        <v>80</v>
      </c>
    </row>
    <row r="1096" spans="1:15" x14ac:dyDescent="0.25">
      <c r="A1096" s="143" t="s">
        <v>4711</v>
      </c>
      <c r="B1096" s="114"/>
      <c r="C1096" t="s">
        <v>4719</v>
      </c>
      <c r="D1096" s="91"/>
      <c r="G1096" s="91" t="s">
        <v>6230</v>
      </c>
      <c r="H1096" s="91" t="s">
        <v>6231</v>
      </c>
      <c r="L1096" s="13">
        <v>0</v>
      </c>
      <c r="M1096" t="s">
        <v>6349</v>
      </c>
      <c r="N1096" t="s">
        <v>80</v>
      </c>
    </row>
    <row r="1097" spans="1:15" x14ac:dyDescent="0.25">
      <c r="A1097" s="143" t="s">
        <v>4711</v>
      </c>
      <c r="B1097" s="114"/>
      <c r="C1097" t="s">
        <v>4718</v>
      </c>
      <c r="D1097" s="91"/>
      <c r="G1097" s="91" t="s">
        <v>6228</v>
      </c>
      <c r="H1097" s="91" t="s">
        <v>6229</v>
      </c>
      <c r="L1097" s="13">
        <v>0</v>
      </c>
      <c r="M1097" t="s">
        <v>165</v>
      </c>
      <c r="N1097" t="s">
        <v>80</v>
      </c>
    </row>
    <row r="1098" spans="1:15" x14ac:dyDescent="0.25">
      <c r="A1098" s="143" t="s">
        <v>4711</v>
      </c>
      <c r="B1098" s="114"/>
      <c r="C1098" t="s">
        <v>4720</v>
      </c>
      <c r="D1098" s="91"/>
      <c r="G1098" s="91" t="s">
        <v>6232</v>
      </c>
      <c r="H1098" s="91" t="s">
        <v>6233</v>
      </c>
      <c r="L1098" s="13">
        <v>0</v>
      </c>
      <c r="M1098" t="s">
        <v>100</v>
      </c>
      <c r="N1098" t="s">
        <v>80</v>
      </c>
    </row>
    <row r="1099" spans="1:15" x14ac:dyDescent="0.25">
      <c r="A1099" s="143" t="s">
        <v>4711</v>
      </c>
      <c r="B1099" s="114"/>
      <c r="C1099" t="s">
        <v>4713</v>
      </c>
      <c r="D1099" s="91"/>
      <c r="G1099" s="91" t="s">
        <v>6218</v>
      </c>
      <c r="H1099" s="91" t="s">
        <v>6219</v>
      </c>
      <c r="L1099" s="13">
        <v>0</v>
      </c>
      <c r="M1099" t="s">
        <v>262</v>
      </c>
      <c r="N1099" t="s">
        <v>80</v>
      </c>
    </row>
    <row r="1100" spans="1:15" x14ac:dyDescent="0.25">
      <c r="A1100" s="143" t="s">
        <v>4711</v>
      </c>
      <c r="B1100" s="114"/>
      <c r="C1100" t="s">
        <v>4714</v>
      </c>
      <c r="D1100" s="91"/>
      <c r="G1100" s="91" t="s">
        <v>6220</v>
      </c>
      <c r="H1100" s="91" t="s">
        <v>6221</v>
      </c>
      <c r="L1100" s="13">
        <v>0</v>
      </c>
      <c r="M1100" t="s">
        <v>262</v>
      </c>
      <c r="N1100" t="s">
        <v>80</v>
      </c>
    </row>
    <row r="1101" spans="1:15" x14ac:dyDescent="0.25">
      <c r="A1101" s="143" t="s">
        <v>4711</v>
      </c>
      <c r="B1101" s="114"/>
      <c r="C1101" t="s">
        <v>4721</v>
      </c>
      <c r="D1101" s="91"/>
      <c r="G1101" s="91" t="s">
        <v>6234</v>
      </c>
      <c r="H1101" s="91" t="s">
        <v>6235</v>
      </c>
      <c r="L1101" s="13">
        <v>0</v>
      </c>
      <c r="M1101" t="s">
        <v>100</v>
      </c>
      <c r="N1101" t="s">
        <v>80</v>
      </c>
    </row>
    <row r="1102" spans="1:15" x14ac:dyDescent="0.25">
      <c r="A1102" s="143" t="s">
        <v>4711</v>
      </c>
      <c r="B1102" s="114"/>
      <c r="C1102" t="s">
        <v>4715</v>
      </c>
      <c r="D1102" s="91"/>
      <c r="G1102" s="91" t="s">
        <v>6222</v>
      </c>
      <c r="H1102" s="91" t="s">
        <v>6223</v>
      </c>
      <c r="L1102" s="13">
        <v>0</v>
      </c>
      <c r="M1102" t="s">
        <v>262</v>
      </c>
      <c r="N1102" t="s">
        <v>80</v>
      </c>
    </row>
    <row r="1103" spans="1:15" x14ac:dyDescent="0.25">
      <c r="A1103" s="143" t="s">
        <v>4711</v>
      </c>
      <c r="B1103" s="114"/>
      <c r="C1103" t="s">
        <v>4712</v>
      </c>
      <c r="D1103" s="91"/>
      <c r="G1103" s="91" t="s">
        <v>6216</v>
      </c>
      <c r="H1103" s="91" t="s">
        <v>6217</v>
      </c>
      <c r="L1103" s="13">
        <v>0</v>
      </c>
      <c r="M1103" t="s">
        <v>195</v>
      </c>
      <c r="N1103" t="s">
        <v>80</v>
      </c>
    </row>
    <row r="1104" spans="1:15" x14ac:dyDescent="0.25">
      <c r="A1104" s="143" t="s">
        <v>4711</v>
      </c>
      <c r="B1104" s="114"/>
      <c r="C1104" t="s">
        <v>4716</v>
      </c>
      <c r="D1104" s="91"/>
      <c r="G1104" s="91" t="s">
        <v>6224</v>
      </c>
      <c r="H1104" s="91" t="s">
        <v>6225</v>
      </c>
      <c r="L1104" s="13">
        <v>0</v>
      </c>
      <c r="M1104" t="s">
        <v>262</v>
      </c>
      <c r="N1104" t="s">
        <v>80</v>
      </c>
    </row>
    <row r="1105" spans="1:15" x14ac:dyDescent="0.25">
      <c r="A1105" s="143" t="s">
        <v>4711</v>
      </c>
      <c r="B1105" s="114"/>
      <c r="C1105" t="s">
        <v>4717</v>
      </c>
      <c r="D1105" s="91"/>
      <c r="G1105" s="91" t="s">
        <v>6226</v>
      </c>
      <c r="H1105" s="91" t="s">
        <v>6227</v>
      </c>
      <c r="L1105" s="13">
        <v>0</v>
      </c>
      <c r="M1105" t="s">
        <v>262</v>
      </c>
      <c r="N1105" t="s">
        <v>80</v>
      </c>
    </row>
    <row r="1106" spans="1:15" x14ac:dyDescent="0.25">
      <c r="A1106" s="123" t="s">
        <v>4450</v>
      </c>
      <c r="B1106" s="124">
        <v>0</v>
      </c>
      <c r="C1106" s="125" t="s">
        <v>93</v>
      </c>
      <c r="D1106" s="125" t="s">
        <v>1927</v>
      </c>
      <c r="E1106" s="126" t="s">
        <v>2139</v>
      </c>
      <c r="F1106" s="125" t="s">
        <v>2187</v>
      </c>
      <c r="G1106" s="125" t="s">
        <v>277</v>
      </c>
      <c r="H1106" s="125" t="s">
        <v>278</v>
      </c>
      <c r="I1106" s="125" t="s">
        <v>2320</v>
      </c>
      <c r="J1106" s="127"/>
      <c r="K1106" s="124">
        <v>1</v>
      </c>
      <c r="L1106" s="124" t="s">
        <v>605</v>
      </c>
      <c r="M1106" s="125" t="s">
        <v>91</v>
      </c>
      <c r="N1106" s="123" t="s">
        <v>80</v>
      </c>
      <c r="O1106" s="123"/>
    </row>
    <row r="1107" spans="1:15" x14ac:dyDescent="0.25">
      <c r="A1107" s="123" t="s">
        <v>4450</v>
      </c>
      <c r="B1107" s="124">
        <v>1</v>
      </c>
      <c r="C1107" s="125" t="s">
        <v>4144</v>
      </c>
      <c r="D1107" s="125" t="s">
        <v>6776</v>
      </c>
      <c r="E1107" s="126"/>
      <c r="F1107" s="125"/>
      <c r="G1107" s="125"/>
      <c r="H1107" s="125"/>
      <c r="I1107" s="125"/>
      <c r="J1107" s="127"/>
      <c r="K1107" s="124"/>
      <c r="L1107" s="124" t="s">
        <v>605</v>
      </c>
      <c r="M1107" s="125" t="s">
        <v>91</v>
      </c>
      <c r="N1107" s="123" t="s">
        <v>80</v>
      </c>
      <c r="O1107" s="123"/>
    </row>
    <row r="1108" spans="1:15" x14ac:dyDescent="0.25">
      <c r="A1108" s="143" t="s">
        <v>4450</v>
      </c>
      <c r="B1108" s="114">
        <v>2</v>
      </c>
      <c r="C1108" t="s">
        <v>4145</v>
      </c>
      <c r="D1108" s="91" t="s">
        <v>6775</v>
      </c>
      <c r="G1108" s="91" t="s">
        <v>465</v>
      </c>
      <c r="H1108" s="91" t="s">
        <v>5084</v>
      </c>
      <c r="L1108" s="13" t="s">
        <v>605</v>
      </c>
      <c r="M1108" t="s">
        <v>100</v>
      </c>
      <c r="N1108" t="s">
        <v>80</v>
      </c>
    </row>
    <row r="1109" spans="1:15" x14ac:dyDescent="0.25">
      <c r="A1109" s="123" t="s">
        <v>4450</v>
      </c>
      <c r="B1109" s="124">
        <v>3</v>
      </c>
      <c r="C1109" s="125" t="s">
        <v>6443</v>
      </c>
      <c r="D1109" s="125" t="s">
        <v>6746</v>
      </c>
      <c r="E1109" s="126"/>
      <c r="F1109" s="125"/>
      <c r="G1109" s="125"/>
      <c r="H1109" s="125"/>
      <c r="I1109" s="125"/>
      <c r="J1109" s="127"/>
      <c r="K1109" s="124"/>
      <c r="L1109" s="128" t="s">
        <v>605</v>
      </c>
      <c r="M1109" s="62" t="s">
        <v>91</v>
      </c>
      <c r="N1109" s="123" t="s">
        <v>80</v>
      </c>
      <c r="O1109" s="123"/>
    </row>
    <row r="1110" spans="1:15" x14ac:dyDescent="0.25">
      <c r="A1110" s="123" t="s">
        <v>4450</v>
      </c>
      <c r="B1110" s="124">
        <v>4</v>
      </c>
      <c r="C1110" s="125" t="s">
        <v>116</v>
      </c>
      <c r="D1110" s="127" t="s">
        <v>6747</v>
      </c>
      <c r="E1110" s="126"/>
      <c r="F1110" s="125"/>
      <c r="G1110" s="125"/>
      <c r="H1110" s="125"/>
      <c r="I1110" s="125"/>
      <c r="J1110" s="127"/>
      <c r="K1110" s="124"/>
      <c r="L1110" s="128" t="s">
        <v>605</v>
      </c>
      <c r="M1110" s="125" t="s">
        <v>100</v>
      </c>
      <c r="N1110" s="123" t="s">
        <v>80</v>
      </c>
      <c r="O1110" s="123"/>
    </row>
    <row r="1111" spans="1:15" x14ac:dyDescent="0.25">
      <c r="A1111" s="123" t="s">
        <v>4450</v>
      </c>
      <c r="B1111" s="124">
        <v>5</v>
      </c>
      <c r="C1111" s="125" t="s">
        <v>267</v>
      </c>
      <c r="D1111" s="125" t="s">
        <v>6496</v>
      </c>
      <c r="E1111" s="126" t="s">
        <v>1602</v>
      </c>
      <c r="F1111" s="125" t="s">
        <v>2232</v>
      </c>
      <c r="G1111" s="125" t="s">
        <v>480</v>
      </c>
      <c r="H1111" s="125" t="s">
        <v>481</v>
      </c>
      <c r="I1111" s="125" t="s">
        <v>2232</v>
      </c>
      <c r="J1111" s="127"/>
      <c r="K1111" s="124">
        <v>0</v>
      </c>
      <c r="L1111" s="128" t="s">
        <v>605</v>
      </c>
      <c r="M1111" s="125" t="s">
        <v>153</v>
      </c>
      <c r="N1111" s="123" t="s">
        <v>80</v>
      </c>
      <c r="O1111" s="123"/>
    </row>
    <row r="1112" spans="1:15" s="123" customFormat="1" x14ac:dyDescent="0.25">
      <c r="A1112" s="123" t="s">
        <v>4450</v>
      </c>
      <c r="B1112" s="124">
        <v>6</v>
      </c>
      <c r="C1112" s="125" t="s">
        <v>6946</v>
      </c>
      <c r="D1112" s="127" t="s">
        <v>6778</v>
      </c>
      <c r="E1112" s="126"/>
      <c r="F1112" s="125"/>
      <c r="G1112" s="125"/>
      <c r="H1112" s="125"/>
      <c r="I1112" s="125"/>
      <c r="J1112" s="127"/>
      <c r="K1112" s="124"/>
      <c r="L1112" s="128" t="s">
        <v>605</v>
      </c>
      <c r="M1112" s="125" t="s">
        <v>100</v>
      </c>
      <c r="N1112" s="123" t="s">
        <v>80</v>
      </c>
    </row>
    <row r="1113" spans="1:15" x14ac:dyDescent="0.25">
      <c r="A1113" s="143" t="s">
        <v>4450</v>
      </c>
      <c r="B1113" s="114"/>
      <c r="C1113" t="s">
        <v>4451</v>
      </c>
      <c r="G1113" s="91" t="s">
        <v>5706</v>
      </c>
      <c r="H1113" s="91" t="s">
        <v>5707</v>
      </c>
      <c r="L1113" s="13">
        <v>0</v>
      </c>
      <c r="M1113" t="s">
        <v>195</v>
      </c>
      <c r="N1113" t="s">
        <v>80</v>
      </c>
    </row>
    <row r="1114" spans="1:15" x14ac:dyDescent="0.25">
      <c r="A1114" s="143" t="s">
        <v>4450</v>
      </c>
      <c r="B1114" s="114"/>
      <c r="C1114" t="s">
        <v>4477</v>
      </c>
      <c r="G1114" s="91" t="s">
        <v>5757</v>
      </c>
      <c r="H1114" s="91" t="s">
        <v>5758</v>
      </c>
      <c r="L1114" s="13">
        <v>0</v>
      </c>
      <c r="M1114" t="s">
        <v>262</v>
      </c>
      <c r="N1114" t="s">
        <v>80</v>
      </c>
    </row>
    <row r="1115" spans="1:15" x14ac:dyDescent="0.25">
      <c r="A1115" s="143" t="s">
        <v>4450</v>
      </c>
      <c r="B1115" s="114"/>
      <c r="C1115" t="s">
        <v>4497</v>
      </c>
      <c r="D1115" s="91"/>
      <c r="G1115" s="91" t="s">
        <v>5797</v>
      </c>
      <c r="H1115" s="91" t="s">
        <v>5798</v>
      </c>
      <c r="L1115" s="13">
        <v>0</v>
      </c>
      <c r="M1115" t="s">
        <v>195</v>
      </c>
      <c r="N1115" t="s">
        <v>80</v>
      </c>
    </row>
    <row r="1116" spans="1:15" x14ac:dyDescent="0.25">
      <c r="A1116" s="143" t="s">
        <v>4450</v>
      </c>
      <c r="B1116" s="114"/>
      <c r="C1116" t="s">
        <v>4510</v>
      </c>
      <c r="D1116" s="91"/>
      <c r="G1116" s="91" t="s">
        <v>5823</v>
      </c>
      <c r="H1116" s="91" t="s">
        <v>5824</v>
      </c>
      <c r="L1116" s="13">
        <v>0</v>
      </c>
      <c r="M1116" t="s">
        <v>262</v>
      </c>
      <c r="N1116" t="s">
        <v>80</v>
      </c>
    </row>
    <row r="1117" spans="1:15" x14ac:dyDescent="0.25">
      <c r="A1117" s="143" t="s">
        <v>4450</v>
      </c>
      <c r="B1117" s="114"/>
      <c r="C1117" t="s">
        <v>4481</v>
      </c>
      <c r="D1117" s="91"/>
      <c r="G1117" s="91" t="s">
        <v>5765</v>
      </c>
      <c r="H1117" s="91" t="s">
        <v>5766</v>
      </c>
      <c r="L1117" s="13">
        <v>0</v>
      </c>
      <c r="M1117" t="s">
        <v>262</v>
      </c>
      <c r="N1117" t="s">
        <v>80</v>
      </c>
    </row>
    <row r="1118" spans="1:15" x14ac:dyDescent="0.25">
      <c r="A1118" s="143" t="s">
        <v>4450</v>
      </c>
      <c r="B1118" s="114"/>
      <c r="C1118" t="s">
        <v>4484</v>
      </c>
      <c r="G1118" s="91" t="s">
        <v>5771</v>
      </c>
      <c r="H1118" s="91" t="s">
        <v>5772</v>
      </c>
      <c r="L1118" s="13">
        <v>0</v>
      </c>
      <c r="M1118" t="s">
        <v>6377</v>
      </c>
      <c r="N1118" t="s">
        <v>80</v>
      </c>
    </row>
    <row r="1119" spans="1:15" x14ac:dyDescent="0.25">
      <c r="A1119" s="143" t="s">
        <v>4450</v>
      </c>
      <c r="B1119" s="114"/>
      <c r="C1119" t="s">
        <v>4526</v>
      </c>
      <c r="D1119" s="91"/>
      <c r="G1119" s="91" t="s">
        <v>5855</v>
      </c>
      <c r="H1119" s="91" t="s">
        <v>5856</v>
      </c>
      <c r="L1119" s="13">
        <v>0</v>
      </c>
      <c r="M1119" t="s">
        <v>6377</v>
      </c>
      <c r="N1119" t="s">
        <v>80</v>
      </c>
    </row>
    <row r="1120" spans="1:15" x14ac:dyDescent="0.25">
      <c r="A1120" s="143" t="s">
        <v>4450</v>
      </c>
      <c r="B1120" s="114"/>
      <c r="C1120" t="s">
        <v>4476</v>
      </c>
      <c r="G1120" s="91" t="s">
        <v>5755</v>
      </c>
      <c r="H1120" s="91" t="s">
        <v>5756</v>
      </c>
      <c r="L1120" s="13">
        <v>0</v>
      </c>
      <c r="M1120" t="s">
        <v>158</v>
      </c>
      <c r="N1120" t="s">
        <v>80</v>
      </c>
    </row>
    <row r="1121" spans="1:14" x14ac:dyDescent="0.25">
      <c r="A1121" s="143" t="s">
        <v>4450</v>
      </c>
      <c r="B1121" s="114"/>
      <c r="C1121" t="s">
        <v>4533</v>
      </c>
      <c r="D1121" s="91"/>
      <c r="G1121" s="91" t="s">
        <v>5869</v>
      </c>
      <c r="H1121" s="91" t="s">
        <v>5870</v>
      </c>
      <c r="L1121" s="13">
        <v>0</v>
      </c>
      <c r="M1121" t="s">
        <v>262</v>
      </c>
      <c r="N1121" t="s">
        <v>80</v>
      </c>
    </row>
    <row r="1122" spans="1:14" x14ac:dyDescent="0.25">
      <c r="A1122" s="143" t="s">
        <v>4450</v>
      </c>
      <c r="B1122" s="114"/>
      <c r="C1122" t="s">
        <v>4478</v>
      </c>
      <c r="G1122" s="91" t="s">
        <v>5759</v>
      </c>
      <c r="H1122" s="91" t="s">
        <v>5760</v>
      </c>
      <c r="L1122" s="13">
        <v>0</v>
      </c>
      <c r="M1122" t="s">
        <v>262</v>
      </c>
      <c r="N1122" t="s">
        <v>80</v>
      </c>
    </row>
    <row r="1123" spans="1:14" x14ac:dyDescent="0.25">
      <c r="A1123" s="143" t="s">
        <v>4450</v>
      </c>
      <c r="B1123" s="114"/>
      <c r="C1123" t="s">
        <v>4454</v>
      </c>
      <c r="D1123" s="91"/>
      <c r="G1123" s="91" t="s">
        <v>5712</v>
      </c>
      <c r="H1123" s="91" t="s">
        <v>5713</v>
      </c>
      <c r="L1123" s="13">
        <v>0</v>
      </c>
      <c r="M1123" t="s">
        <v>195</v>
      </c>
      <c r="N1123" t="s">
        <v>80</v>
      </c>
    </row>
    <row r="1124" spans="1:14" x14ac:dyDescent="0.25">
      <c r="A1124" s="143" t="s">
        <v>4450</v>
      </c>
      <c r="B1124" s="114"/>
      <c r="C1124" t="s">
        <v>4512</v>
      </c>
      <c r="D1124" s="91"/>
      <c r="G1124" s="91" t="s">
        <v>5827</v>
      </c>
      <c r="H1124" s="91" t="s">
        <v>5828</v>
      </c>
      <c r="L1124" s="13">
        <v>0</v>
      </c>
      <c r="M1124" t="s">
        <v>262</v>
      </c>
      <c r="N1124" t="s">
        <v>80</v>
      </c>
    </row>
    <row r="1125" spans="1:14" x14ac:dyDescent="0.25">
      <c r="A1125" s="143" t="s">
        <v>4450</v>
      </c>
      <c r="B1125" s="114"/>
      <c r="C1125" t="s">
        <v>4499</v>
      </c>
      <c r="D1125" s="91"/>
      <c r="G1125" s="91" t="s">
        <v>5801</v>
      </c>
      <c r="H1125" s="91" t="s">
        <v>5802</v>
      </c>
      <c r="L1125" s="13">
        <v>0</v>
      </c>
      <c r="M1125" t="s">
        <v>195</v>
      </c>
      <c r="N1125" t="s">
        <v>80</v>
      </c>
    </row>
    <row r="1126" spans="1:14" x14ac:dyDescent="0.25">
      <c r="A1126" s="143" t="s">
        <v>4450</v>
      </c>
      <c r="B1126" s="114"/>
      <c r="C1126" t="s">
        <v>4455</v>
      </c>
      <c r="D1126" s="91"/>
      <c r="G1126" s="91" t="s">
        <v>5714</v>
      </c>
      <c r="H1126" s="91" t="s">
        <v>5715</v>
      </c>
      <c r="L1126" s="13">
        <v>0</v>
      </c>
      <c r="M1126" t="s">
        <v>195</v>
      </c>
      <c r="N1126" t="s">
        <v>80</v>
      </c>
    </row>
    <row r="1127" spans="1:14" x14ac:dyDescent="0.25">
      <c r="A1127" s="143" t="s">
        <v>4450</v>
      </c>
      <c r="B1127" s="114"/>
      <c r="C1127" t="s">
        <v>4534</v>
      </c>
      <c r="D1127" s="91"/>
      <c r="G1127" s="91" t="s">
        <v>5871</v>
      </c>
      <c r="H1127" s="91" t="s">
        <v>5872</v>
      </c>
      <c r="L1127" s="13">
        <v>0</v>
      </c>
      <c r="M1127" t="s">
        <v>262</v>
      </c>
      <c r="N1127" t="s">
        <v>80</v>
      </c>
    </row>
    <row r="1128" spans="1:14" x14ac:dyDescent="0.25">
      <c r="A1128" s="143" t="s">
        <v>4450</v>
      </c>
      <c r="B1128" s="114"/>
      <c r="C1128" t="s">
        <v>4480</v>
      </c>
      <c r="D1128" s="91"/>
      <c r="G1128" s="91" t="s">
        <v>5763</v>
      </c>
      <c r="H1128" s="91" t="s">
        <v>5764</v>
      </c>
      <c r="L1128" s="13">
        <v>0</v>
      </c>
      <c r="M1128" t="s">
        <v>262</v>
      </c>
      <c r="N1128" t="s">
        <v>80</v>
      </c>
    </row>
    <row r="1129" spans="1:14" x14ac:dyDescent="0.25">
      <c r="A1129" s="143" t="s">
        <v>4450</v>
      </c>
      <c r="B1129" s="114"/>
      <c r="C1129" t="s">
        <v>4492</v>
      </c>
      <c r="D1129" s="91"/>
      <c r="G1129" s="91" t="s">
        <v>5787</v>
      </c>
      <c r="H1129" s="91" t="s">
        <v>5788</v>
      </c>
      <c r="L1129" s="13">
        <v>0</v>
      </c>
      <c r="M1129" t="s">
        <v>6384</v>
      </c>
      <c r="N1129" t="s">
        <v>80</v>
      </c>
    </row>
    <row r="1130" spans="1:14" x14ac:dyDescent="0.25">
      <c r="A1130" s="143" t="s">
        <v>4450</v>
      </c>
      <c r="B1130" s="114"/>
      <c r="C1130" t="s">
        <v>4479</v>
      </c>
      <c r="G1130" s="91" t="s">
        <v>5761</v>
      </c>
      <c r="H1130" s="91" t="s">
        <v>5762</v>
      </c>
      <c r="L1130" s="13">
        <v>0</v>
      </c>
      <c r="M1130" t="s">
        <v>262</v>
      </c>
      <c r="N1130" t="s">
        <v>80</v>
      </c>
    </row>
    <row r="1131" spans="1:14" x14ac:dyDescent="0.25">
      <c r="A1131" s="143" t="s">
        <v>4450</v>
      </c>
      <c r="B1131" s="114"/>
      <c r="C1131" t="s">
        <v>4456</v>
      </c>
      <c r="G1131" s="91" t="s">
        <v>5716</v>
      </c>
      <c r="H1131" s="91" t="s">
        <v>5717</v>
      </c>
      <c r="L1131" s="13">
        <v>0</v>
      </c>
      <c r="M1131" t="s">
        <v>195</v>
      </c>
      <c r="N1131" t="s">
        <v>80</v>
      </c>
    </row>
    <row r="1132" spans="1:14" x14ac:dyDescent="0.25">
      <c r="A1132" s="143" t="s">
        <v>4450</v>
      </c>
      <c r="B1132" s="114"/>
      <c r="C1132" t="s">
        <v>4513</v>
      </c>
      <c r="D1132" s="91"/>
      <c r="G1132" s="91" t="s">
        <v>5829</v>
      </c>
      <c r="H1132" s="91" t="s">
        <v>5830</v>
      </c>
      <c r="L1132" s="13">
        <v>0</v>
      </c>
      <c r="M1132" t="s">
        <v>262</v>
      </c>
      <c r="N1132" t="s">
        <v>80</v>
      </c>
    </row>
    <row r="1133" spans="1:14" x14ac:dyDescent="0.25">
      <c r="A1133" s="143" t="s">
        <v>4450</v>
      </c>
      <c r="B1133" s="114"/>
      <c r="C1133" t="s">
        <v>4500</v>
      </c>
      <c r="D1133" s="91"/>
      <c r="G1133" s="91" t="s">
        <v>5803</v>
      </c>
      <c r="H1133" s="91" t="s">
        <v>5804</v>
      </c>
      <c r="L1133" s="13">
        <v>0</v>
      </c>
      <c r="M1133" t="s">
        <v>195</v>
      </c>
      <c r="N1133" t="s">
        <v>80</v>
      </c>
    </row>
    <row r="1134" spans="1:14" x14ac:dyDescent="0.25">
      <c r="A1134" s="143" t="s">
        <v>4450</v>
      </c>
      <c r="B1134" s="114"/>
      <c r="C1134" t="s">
        <v>4487</v>
      </c>
      <c r="D1134" s="91"/>
      <c r="G1134" s="91" t="s">
        <v>5777</v>
      </c>
      <c r="H1134" s="91" t="s">
        <v>5778</v>
      </c>
      <c r="L1134" s="13">
        <v>0</v>
      </c>
      <c r="M1134" t="s">
        <v>100</v>
      </c>
      <c r="N1134" t="s">
        <v>80</v>
      </c>
    </row>
    <row r="1135" spans="1:14" x14ac:dyDescent="0.25">
      <c r="A1135" s="143" t="s">
        <v>4450</v>
      </c>
      <c r="B1135" s="114"/>
      <c r="C1135" t="s">
        <v>4495</v>
      </c>
      <c r="D1135" s="91"/>
      <c r="G1135" s="91" t="s">
        <v>5793</v>
      </c>
      <c r="H1135" s="91" t="s">
        <v>5794</v>
      </c>
      <c r="L1135" s="13">
        <v>0</v>
      </c>
      <c r="M1135" t="s">
        <v>157</v>
      </c>
      <c r="N1135" t="s">
        <v>80</v>
      </c>
    </row>
    <row r="1136" spans="1:14" x14ac:dyDescent="0.25">
      <c r="A1136" s="143" t="s">
        <v>4450</v>
      </c>
      <c r="B1136" s="114"/>
      <c r="C1136" t="s">
        <v>4489</v>
      </c>
      <c r="D1136" s="91"/>
      <c r="G1136" s="91" t="s">
        <v>5781</v>
      </c>
      <c r="H1136" s="91" t="s">
        <v>5782</v>
      </c>
      <c r="L1136" s="13">
        <v>0</v>
      </c>
      <c r="M1136" t="s">
        <v>100</v>
      </c>
      <c r="N1136" t="s">
        <v>80</v>
      </c>
    </row>
    <row r="1137" spans="1:14" x14ac:dyDescent="0.25">
      <c r="A1137" s="143" t="s">
        <v>4450</v>
      </c>
      <c r="B1137" s="114"/>
      <c r="C1137" t="s">
        <v>4490</v>
      </c>
      <c r="D1137" s="91"/>
      <c r="G1137" s="91" t="s">
        <v>5783</v>
      </c>
      <c r="H1137" s="91" t="s">
        <v>5784</v>
      </c>
      <c r="L1137" s="13">
        <v>0</v>
      </c>
      <c r="M1137" t="s">
        <v>100</v>
      </c>
      <c r="N1137" t="s">
        <v>80</v>
      </c>
    </row>
    <row r="1138" spans="1:14" x14ac:dyDescent="0.25">
      <c r="A1138" s="143" t="s">
        <v>4450</v>
      </c>
      <c r="B1138" s="114"/>
      <c r="C1138" t="s">
        <v>4488</v>
      </c>
      <c r="D1138" s="91"/>
      <c r="G1138" s="91" t="s">
        <v>5779</v>
      </c>
      <c r="H1138" s="91" t="s">
        <v>5780</v>
      </c>
      <c r="L1138" s="13">
        <v>0</v>
      </c>
      <c r="M1138" t="s">
        <v>100</v>
      </c>
      <c r="N1138" t="s">
        <v>80</v>
      </c>
    </row>
    <row r="1139" spans="1:14" x14ac:dyDescent="0.25">
      <c r="A1139" s="143" t="s">
        <v>4450</v>
      </c>
      <c r="B1139" s="114"/>
      <c r="C1139" t="s">
        <v>4485</v>
      </c>
      <c r="D1139" s="91"/>
      <c r="G1139" s="91" t="s">
        <v>5773</v>
      </c>
      <c r="H1139" s="91" t="s">
        <v>5774</v>
      </c>
      <c r="L1139" s="13">
        <v>0</v>
      </c>
      <c r="M1139" t="s">
        <v>6377</v>
      </c>
      <c r="N1139" t="s">
        <v>80</v>
      </c>
    </row>
    <row r="1140" spans="1:14" x14ac:dyDescent="0.25">
      <c r="A1140" s="143" t="s">
        <v>4450</v>
      </c>
      <c r="B1140" s="114"/>
      <c r="C1140" t="s">
        <v>4468</v>
      </c>
      <c r="D1140" s="91"/>
      <c r="G1140" s="91" t="s">
        <v>5740</v>
      </c>
      <c r="H1140" s="91" t="s">
        <v>5741</v>
      </c>
      <c r="L1140" s="13">
        <v>0</v>
      </c>
      <c r="M1140" t="s">
        <v>158</v>
      </c>
      <c r="N1140" t="s">
        <v>80</v>
      </c>
    </row>
    <row r="1141" spans="1:14" x14ac:dyDescent="0.25">
      <c r="A1141" s="143" t="s">
        <v>4450</v>
      </c>
      <c r="B1141" s="114"/>
      <c r="C1141" t="s">
        <v>4470</v>
      </c>
      <c r="D1141" s="91"/>
      <c r="G1141" s="91" t="s">
        <v>5744</v>
      </c>
      <c r="H1141" s="91" t="s">
        <v>5745</v>
      </c>
      <c r="L1141" s="13">
        <v>0</v>
      </c>
      <c r="M1141" t="s">
        <v>158</v>
      </c>
      <c r="N1141" t="s">
        <v>80</v>
      </c>
    </row>
    <row r="1142" spans="1:14" x14ac:dyDescent="0.25">
      <c r="A1142" s="143" t="s">
        <v>4450</v>
      </c>
      <c r="B1142" s="114"/>
      <c r="C1142" t="s">
        <v>4469</v>
      </c>
      <c r="D1142" s="91"/>
      <c r="G1142" s="91" t="s">
        <v>5742</v>
      </c>
      <c r="H1142" s="91" t="s">
        <v>5743</v>
      </c>
      <c r="L1142" s="13">
        <v>0</v>
      </c>
      <c r="M1142" t="s">
        <v>158</v>
      </c>
      <c r="N1142" t="s">
        <v>80</v>
      </c>
    </row>
    <row r="1143" spans="1:14" x14ac:dyDescent="0.25">
      <c r="A1143" s="143" t="s">
        <v>4450</v>
      </c>
      <c r="B1143" s="114"/>
      <c r="C1143" t="s">
        <v>4486</v>
      </c>
      <c r="D1143" s="91"/>
      <c r="G1143" s="91" t="s">
        <v>5775</v>
      </c>
      <c r="H1143" s="91" t="s">
        <v>5776</v>
      </c>
      <c r="L1143" s="13">
        <v>0</v>
      </c>
      <c r="M1143" t="s">
        <v>6377</v>
      </c>
      <c r="N1143" t="s">
        <v>80</v>
      </c>
    </row>
    <row r="1144" spans="1:14" x14ac:dyDescent="0.25">
      <c r="A1144" s="143" t="s">
        <v>4450</v>
      </c>
      <c r="B1144" s="114"/>
      <c r="C1144" t="s">
        <v>4491</v>
      </c>
      <c r="D1144" s="91"/>
      <c r="G1144" s="91" t="s">
        <v>5785</v>
      </c>
      <c r="H1144" s="91" t="s">
        <v>5786</v>
      </c>
      <c r="L1144" s="13">
        <v>0</v>
      </c>
      <c r="M1144" t="s">
        <v>100</v>
      </c>
      <c r="N1144" t="s">
        <v>80</v>
      </c>
    </row>
    <row r="1145" spans="1:14" x14ac:dyDescent="0.25">
      <c r="A1145" s="143" t="s">
        <v>4450</v>
      </c>
      <c r="B1145" s="114"/>
      <c r="C1145" t="s">
        <v>4496</v>
      </c>
      <c r="D1145" s="91"/>
      <c r="G1145" s="91" t="s">
        <v>5795</v>
      </c>
      <c r="H1145" s="91" t="s">
        <v>5796</v>
      </c>
      <c r="L1145" s="13">
        <v>0</v>
      </c>
      <c r="M1145" t="s">
        <v>157</v>
      </c>
      <c r="N1145" t="s">
        <v>80</v>
      </c>
    </row>
    <row r="1146" spans="1:14" x14ac:dyDescent="0.25">
      <c r="A1146" s="143" t="s">
        <v>4450</v>
      </c>
      <c r="B1146" s="114"/>
      <c r="C1146" t="s">
        <v>4516</v>
      </c>
      <c r="D1146" s="91"/>
      <c r="G1146" s="91" t="s">
        <v>5835</v>
      </c>
      <c r="H1146" s="91" t="s">
        <v>5836</v>
      </c>
      <c r="L1146" s="13">
        <v>0</v>
      </c>
      <c r="M1146" t="s">
        <v>262</v>
      </c>
      <c r="N1146" t="s">
        <v>80</v>
      </c>
    </row>
    <row r="1147" spans="1:14" x14ac:dyDescent="0.25">
      <c r="A1147" s="143" t="s">
        <v>4450</v>
      </c>
      <c r="B1147" s="114"/>
      <c r="C1147" t="s">
        <v>4527</v>
      </c>
      <c r="D1147" s="91"/>
      <c r="G1147" s="91" t="s">
        <v>5857</v>
      </c>
      <c r="H1147" s="91" t="s">
        <v>5858</v>
      </c>
      <c r="L1147" s="13">
        <v>0</v>
      </c>
      <c r="M1147" t="s">
        <v>6377</v>
      </c>
      <c r="N1147" t="s">
        <v>80</v>
      </c>
    </row>
    <row r="1148" spans="1:14" x14ac:dyDescent="0.25">
      <c r="A1148" s="143" t="s">
        <v>4450</v>
      </c>
      <c r="B1148" s="114"/>
      <c r="C1148" t="s">
        <v>4528</v>
      </c>
      <c r="D1148" s="91"/>
      <c r="G1148" s="91" t="s">
        <v>5859</v>
      </c>
      <c r="H1148" s="91" t="s">
        <v>5860</v>
      </c>
      <c r="L1148" s="13">
        <v>0</v>
      </c>
      <c r="M1148" t="s">
        <v>157</v>
      </c>
      <c r="N1148" t="s">
        <v>80</v>
      </c>
    </row>
    <row r="1149" spans="1:14" x14ac:dyDescent="0.25">
      <c r="A1149" s="143" t="s">
        <v>4450</v>
      </c>
      <c r="B1149" s="114"/>
      <c r="C1149" t="s">
        <v>4508</v>
      </c>
      <c r="D1149" s="91"/>
      <c r="G1149" s="91" t="s">
        <v>5819</v>
      </c>
      <c r="H1149" s="91" t="s">
        <v>5820</v>
      </c>
      <c r="L1149" s="13">
        <v>0</v>
      </c>
      <c r="M1149" t="s">
        <v>235</v>
      </c>
      <c r="N1149" t="s">
        <v>80</v>
      </c>
    </row>
    <row r="1150" spans="1:14" x14ac:dyDescent="0.25">
      <c r="A1150" s="143" t="s">
        <v>4450</v>
      </c>
      <c r="B1150" s="114"/>
      <c r="C1150" t="s">
        <v>4514</v>
      </c>
      <c r="D1150" s="91"/>
      <c r="G1150" s="91" t="s">
        <v>5831</v>
      </c>
      <c r="H1150" s="91" t="s">
        <v>5832</v>
      </c>
      <c r="L1150" s="13">
        <v>0</v>
      </c>
      <c r="M1150" t="s">
        <v>262</v>
      </c>
      <c r="N1150" t="s">
        <v>80</v>
      </c>
    </row>
    <row r="1151" spans="1:14" x14ac:dyDescent="0.25">
      <c r="A1151" s="143" t="s">
        <v>4450</v>
      </c>
      <c r="B1151" s="114"/>
      <c r="C1151" t="s">
        <v>4501</v>
      </c>
      <c r="D1151" s="91"/>
      <c r="G1151" s="91" t="s">
        <v>5805</v>
      </c>
      <c r="H1151" s="91" t="s">
        <v>5806</v>
      </c>
      <c r="L1151" s="13">
        <v>0</v>
      </c>
      <c r="M1151" t="s">
        <v>195</v>
      </c>
      <c r="N1151" t="s">
        <v>80</v>
      </c>
    </row>
    <row r="1152" spans="1:14" x14ac:dyDescent="0.25">
      <c r="A1152" s="143" t="s">
        <v>4450</v>
      </c>
      <c r="B1152" s="114"/>
      <c r="C1152" t="s">
        <v>4460</v>
      </c>
      <c r="G1152" s="91" t="s">
        <v>5724</v>
      </c>
      <c r="H1152" s="91" t="s">
        <v>5725</v>
      </c>
      <c r="L1152" s="13">
        <v>0</v>
      </c>
      <c r="M1152" t="s">
        <v>195</v>
      </c>
      <c r="N1152" t="s">
        <v>80</v>
      </c>
    </row>
    <row r="1153" spans="1:14" x14ac:dyDescent="0.25">
      <c r="A1153" s="143" t="s">
        <v>4450</v>
      </c>
      <c r="B1153" s="114"/>
      <c r="C1153" t="s">
        <v>4471</v>
      </c>
      <c r="G1153" s="91" t="s">
        <v>5746</v>
      </c>
      <c r="H1153" s="91" t="s">
        <v>5737</v>
      </c>
      <c r="L1153" s="13">
        <v>0</v>
      </c>
      <c r="M1153" t="s">
        <v>158</v>
      </c>
      <c r="N1153" t="s">
        <v>80</v>
      </c>
    </row>
    <row r="1154" spans="1:14" x14ac:dyDescent="0.25">
      <c r="A1154" s="143" t="s">
        <v>4450</v>
      </c>
      <c r="B1154" s="114"/>
      <c r="C1154" t="s">
        <v>4466</v>
      </c>
      <c r="G1154" s="91" t="s">
        <v>5736</v>
      </c>
      <c r="H1154" s="91" t="s">
        <v>5737</v>
      </c>
      <c r="L1154" s="13">
        <v>0</v>
      </c>
      <c r="M1154" t="s">
        <v>6356</v>
      </c>
      <c r="N1154" t="s">
        <v>80</v>
      </c>
    </row>
    <row r="1155" spans="1:14" x14ac:dyDescent="0.25">
      <c r="A1155" s="143" t="s">
        <v>4450</v>
      </c>
      <c r="B1155" s="114"/>
      <c r="C1155" t="s">
        <v>4517</v>
      </c>
      <c r="D1155" s="91"/>
      <c r="G1155" s="91" t="s">
        <v>5837</v>
      </c>
      <c r="H1155" s="91" t="s">
        <v>5838</v>
      </c>
      <c r="L1155" s="13">
        <v>0</v>
      </c>
      <c r="M1155" t="s">
        <v>262</v>
      </c>
      <c r="N1155" t="s">
        <v>80</v>
      </c>
    </row>
    <row r="1156" spans="1:14" x14ac:dyDescent="0.25">
      <c r="A1156" s="143" t="s">
        <v>4450</v>
      </c>
      <c r="B1156" s="114"/>
      <c r="C1156" t="s">
        <v>4509</v>
      </c>
      <c r="D1156" s="91"/>
      <c r="G1156" s="91" t="s">
        <v>5821</v>
      </c>
      <c r="H1156" s="91" t="s">
        <v>5822</v>
      </c>
      <c r="L1156" s="13">
        <v>0</v>
      </c>
      <c r="M1156" t="s">
        <v>6356</v>
      </c>
      <c r="N1156" t="s">
        <v>80</v>
      </c>
    </row>
    <row r="1157" spans="1:14" x14ac:dyDescent="0.25">
      <c r="A1157" s="143" t="s">
        <v>4450</v>
      </c>
      <c r="B1157" s="114"/>
      <c r="C1157" t="s">
        <v>4482</v>
      </c>
      <c r="D1157" s="91"/>
      <c r="G1157" s="91" t="s">
        <v>5767</v>
      </c>
      <c r="H1157" s="91" t="s">
        <v>5768</v>
      </c>
      <c r="L1157" s="13">
        <v>0</v>
      </c>
      <c r="M1157" t="s">
        <v>262</v>
      </c>
      <c r="N1157" t="s">
        <v>80</v>
      </c>
    </row>
    <row r="1158" spans="1:14" x14ac:dyDescent="0.25">
      <c r="A1158" s="143" t="s">
        <v>4450</v>
      </c>
      <c r="B1158" s="114"/>
      <c r="C1158" t="s">
        <v>4459</v>
      </c>
      <c r="D1158" s="91"/>
      <c r="G1158" s="91" t="s">
        <v>5722</v>
      </c>
      <c r="H1158" s="91" t="s">
        <v>5723</v>
      </c>
      <c r="L1158" s="13">
        <v>0</v>
      </c>
      <c r="M1158" t="s">
        <v>195</v>
      </c>
      <c r="N1158" t="s">
        <v>80</v>
      </c>
    </row>
    <row r="1159" spans="1:14" x14ac:dyDescent="0.25">
      <c r="A1159" s="143" t="s">
        <v>4450</v>
      </c>
      <c r="B1159" s="114"/>
      <c r="C1159" t="s">
        <v>4518</v>
      </c>
      <c r="D1159" s="91"/>
      <c r="G1159" s="91" t="s">
        <v>5839</v>
      </c>
      <c r="H1159" s="91" t="s">
        <v>5840</v>
      </c>
      <c r="L1159" s="13">
        <v>0</v>
      </c>
      <c r="M1159" t="s">
        <v>262</v>
      </c>
      <c r="N1159" t="s">
        <v>80</v>
      </c>
    </row>
    <row r="1160" spans="1:14" x14ac:dyDescent="0.25">
      <c r="A1160" s="143" t="s">
        <v>4450</v>
      </c>
      <c r="B1160" s="114"/>
      <c r="C1160" t="s">
        <v>4502</v>
      </c>
      <c r="G1160" s="91" t="s">
        <v>5807</v>
      </c>
      <c r="H1160" s="91" t="s">
        <v>5808</v>
      </c>
      <c r="L1160" s="13">
        <v>0</v>
      </c>
      <c r="M1160" t="s">
        <v>195</v>
      </c>
      <c r="N1160" t="s">
        <v>80</v>
      </c>
    </row>
    <row r="1161" spans="1:14" x14ac:dyDescent="0.25">
      <c r="A1161" s="143" t="s">
        <v>4450</v>
      </c>
      <c r="B1161" s="114"/>
      <c r="C1161" t="s">
        <v>4493</v>
      </c>
      <c r="D1161" s="91"/>
      <c r="G1161" s="91" t="s">
        <v>5789</v>
      </c>
      <c r="H1161" s="91" t="s">
        <v>5790</v>
      </c>
      <c r="L1161" s="13">
        <v>0</v>
      </c>
      <c r="M1161" t="s">
        <v>6384</v>
      </c>
      <c r="N1161" t="s">
        <v>80</v>
      </c>
    </row>
    <row r="1162" spans="1:14" x14ac:dyDescent="0.25">
      <c r="A1162" s="143" t="s">
        <v>4450</v>
      </c>
      <c r="B1162" s="114"/>
      <c r="C1162" t="s">
        <v>4457</v>
      </c>
      <c r="D1162" s="91"/>
      <c r="G1162" s="91" t="s">
        <v>5718</v>
      </c>
      <c r="H1162" s="91" t="s">
        <v>5719</v>
      </c>
      <c r="L1162" s="13">
        <v>0</v>
      </c>
      <c r="M1162" t="s">
        <v>195</v>
      </c>
      <c r="N1162" t="s">
        <v>80</v>
      </c>
    </row>
    <row r="1163" spans="1:14" x14ac:dyDescent="0.25">
      <c r="A1163" s="143" t="s">
        <v>4450</v>
      </c>
      <c r="B1163" s="114"/>
      <c r="C1163" t="s">
        <v>4461</v>
      </c>
      <c r="G1163" s="91" t="s">
        <v>5726</v>
      </c>
      <c r="H1163" s="91" t="s">
        <v>5727</v>
      </c>
      <c r="L1163" s="13">
        <v>0</v>
      </c>
      <c r="M1163" t="s">
        <v>195</v>
      </c>
      <c r="N1163" t="s">
        <v>80</v>
      </c>
    </row>
    <row r="1164" spans="1:14" x14ac:dyDescent="0.25">
      <c r="A1164" s="143" t="s">
        <v>4450</v>
      </c>
      <c r="B1164" s="114"/>
      <c r="C1164" t="s">
        <v>4519</v>
      </c>
      <c r="D1164" s="91"/>
      <c r="G1164" s="91" t="s">
        <v>5841</v>
      </c>
      <c r="H1164" s="91" t="s">
        <v>5842</v>
      </c>
      <c r="L1164" s="13">
        <v>0</v>
      </c>
      <c r="M1164" t="s">
        <v>262</v>
      </c>
      <c r="N1164" t="s">
        <v>80</v>
      </c>
    </row>
    <row r="1165" spans="1:14" x14ac:dyDescent="0.25">
      <c r="A1165" s="143" t="s">
        <v>4450</v>
      </c>
      <c r="B1165" s="114"/>
      <c r="C1165" t="s">
        <v>4504</v>
      </c>
      <c r="G1165" s="91" t="s">
        <v>5811</v>
      </c>
      <c r="H1165" s="91" t="s">
        <v>5812</v>
      </c>
      <c r="L1165" s="13">
        <v>0</v>
      </c>
      <c r="M1165" t="s">
        <v>195</v>
      </c>
      <c r="N1165" t="s">
        <v>80</v>
      </c>
    </row>
    <row r="1166" spans="1:14" x14ac:dyDescent="0.25">
      <c r="A1166" s="143" t="s">
        <v>4450</v>
      </c>
      <c r="B1166" s="114"/>
      <c r="C1166" t="s">
        <v>4520</v>
      </c>
      <c r="D1166" s="91"/>
      <c r="G1166" s="91" t="s">
        <v>5843</v>
      </c>
      <c r="H1166" s="91" t="s">
        <v>5844</v>
      </c>
      <c r="L1166" s="13">
        <v>0</v>
      </c>
      <c r="M1166" t="s">
        <v>262</v>
      </c>
      <c r="N1166" t="s">
        <v>80</v>
      </c>
    </row>
    <row r="1167" spans="1:14" x14ac:dyDescent="0.25">
      <c r="A1167" s="143" t="s">
        <v>4450</v>
      </c>
      <c r="B1167" s="114"/>
      <c r="C1167" t="s">
        <v>4503</v>
      </c>
      <c r="D1167" s="91"/>
      <c r="G1167" s="91" t="s">
        <v>5809</v>
      </c>
      <c r="H1167" s="91" t="s">
        <v>5810</v>
      </c>
      <c r="L1167" s="13">
        <v>0</v>
      </c>
      <c r="M1167" t="s">
        <v>195</v>
      </c>
      <c r="N1167" t="s">
        <v>80</v>
      </c>
    </row>
    <row r="1168" spans="1:14" x14ac:dyDescent="0.25">
      <c r="A1168" s="143" t="s">
        <v>4450</v>
      </c>
      <c r="B1168" s="114"/>
      <c r="C1168" t="s">
        <v>4465</v>
      </c>
      <c r="G1168" s="91" t="s">
        <v>5734</v>
      </c>
      <c r="H1168" s="91" t="s">
        <v>5735</v>
      </c>
      <c r="L1168" s="13">
        <v>0</v>
      </c>
      <c r="M1168" t="s">
        <v>6385</v>
      </c>
      <c r="N1168" t="s">
        <v>80</v>
      </c>
    </row>
    <row r="1169" spans="1:14" x14ac:dyDescent="0.25">
      <c r="A1169" s="143" t="s">
        <v>4450</v>
      </c>
      <c r="B1169" s="114"/>
      <c r="C1169" t="s">
        <v>4515</v>
      </c>
      <c r="D1169" s="91"/>
      <c r="G1169" s="91" t="s">
        <v>5833</v>
      </c>
      <c r="H1169" s="91" t="s">
        <v>5834</v>
      </c>
      <c r="L1169" s="13">
        <v>0</v>
      </c>
      <c r="M1169" t="s">
        <v>262</v>
      </c>
      <c r="N1169" t="s">
        <v>80</v>
      </c>
    </row>
    <row r="1170" spans="1:14" x14ac:dyDescent="0.25">
      <c r="A1170" s="143" t="s">
        <v>4450</v>
      </c>
      <c r="B1170" s="114"/>
      <c r="C1170" t="s">
        <v>4494</v>
      </c>
      <c r="D1170" s="91"/>
      <c r="G1170" s="91" t="s">
        <v>5791</v>
      </c>
      <c r="H1170" s="91" t="s">
        <v>5792</v>
      </c>
      <c r="L1170" s="13">
        <v>0</v>
      </c>
      <c r="M1170" t="s">
        <v>6384</v>
      </c>
      <c r="N1170" t="s">
        <v>80</v>
      </c>
    </row>
    <row r="1171" spans="1:14" x14ac:dyDescent="0.25">
      <c r="A1171" s="143" t="s">
        <v>4450</v>
      </c>
      <c r="B1171" s="114"/>
      <c r="C1171" t="s">
        <v>4483</v>
      </c>
      <c r="G1171" s="91" t="s">
        <v>5769</v>
      </c>
      <c r="H1171" s="91" t="s">
        <v>5770</v>
      </c>
      <c r="L1171" s="13">
        <v>0</v>
      </c>
      <c r="M1171" t="s">
        <v>262</v>
      </c>
      <c r="N1171" t="s">
        <v>80</v>
      </c>
    </row>
    <row r="1172" spans="1:14" x14ac:dyDescent="0.25">
      <c r="A1172" s="143" t="s">
        <v>4450</v>
      </c>
      <c r="B1172" s="114"/>
      <c r="C1172" t="s">
        <v>4462</v>
      </c>
      <c r="G1172" s="91" t="s">
        <v>5728</v>
      </c>
      <c r="H1172" s="91" t="s">
        <v>5729</v>
      </c>
      <c r="L1172" s="13">
        <v>0</v>
      </c>
      <c r="M1172" t="s">
        <v>195</v>
      </c>
      <c r="N1172" t="s">
        <v>80</v>
      </c>
    </row>
    <row r="1173" spans="1:14" x14ac:dyDescent="0.25">
      <c r="A1173" s="143" t="s">
        <v>4450</v>
      </c>
      <c r="B1173" s="114"/>
      <c r="C1173" t="s">
        <v>4521</v>
      </c>
      <c r="D1173" s="91"/>
      <c r="G1173" s="91" t="s">
        <v>5845</v>
      </c>
      <c r="H1173" s="91" t="s">
        <v>5846</v>
      </c>
      <c r="L1173" s="13">
        <v>0</v>
      </c>
      <c r="M1173" t="s">
        <v>262</v>
      </c>
      <c r="N1173" t="s">
        <v>80</v>
      </c>
    </row>
    <row r="1174" spans="1:14" x14ac:dyDescent="0.25">
      <c r="A1174" s="143" t="s">
        <v>4450</v>
      </c>
      <c r="B1174" s="114"/>
      <c r="C1174" t="s">
        <v>4505</v>
      </c>
      <c r="D1174" s="91"/>
      <c r="G1174" s="91" t="s">
        <v>5813</v>
      </c>
      <c r="H1174" s="91" t="s">
        <v>5814</v>
      </c>
      <c r="L1174" s="13">
        <v>0</v>
      </c>
      <c r="M1174" t="s">
        <v>195</v>
      </c>
      <c r="N1174" t="s">
        <v>80</v>
      </c>
    </row>
    <row r="1175" spans="1:14" x14ac:dyDescent="0.25">
      <c r="A1175" s="143" t="s">
        <v>4450</v>
      </c>
      <c r="B1175" s="114"/>
      <c r="C1175" t="s">
        <v>4458</v>
      </c>
      <c r="D1175" s="91"/>
      <c r="G1175" s="91" t="s">
        <v>5720</v>
      </c>
      <c r="H1175" s="91" t="s">
        <v>5721</v>
      </c>
      <c r="L1175" s="13">
        <v>0</v>
      </c>
      <c r="M1175" t="s">
        <v>195</v>
      </c>
      <c r="N1175" t="s">
        <v>80</v>
      </c>
    </row>
    <row r="1176" spans="1:14" x14ac:dyDescent="0.25">
      <c r="A1176" s="143" t="s">
        <v>4450</v>
      </c>
      <c r="B1176" s="114"/>
      <c r="C1176" t="s">
        <v>4472</v>
      </c>
      <c r="D1176" s="91"/>
      <c r="G1176" s="91" t="s">
        <v>5747</v>
      </c>
      <c r="H1176" s="91" t="s">
        <v>5748</v>
      </c>
      <c r="L1176" s="13">
        <v>0</v>
      </c>
      <c r="M1176" t="s">
        <v>158</v>
      </c>
      <c r="N1176" t="s">
        <v>80</v>
      </c>
    </row>
    <row r="1177" spans="1:14" x14ac:dyDescent="0.25">
      <c r="A1177" s="143" t="s">
        <v>4450</v>
      </c>
      <c r="B1177" s="114"/>
      <c r="C1177" t="s">
        <v>4522</v>
      </c>
      <c r="D1177" s="91"/>
      <c r="G1177" s="91" t="s">
        <v>5847</v>
      </c>
      <c r="H1177" s="91" t="s">
        <v>5848</v>
      </c>
      <c r="L1177" s="13">
        <v>0</v>
      </c>
      <c r="M1177" t="s">
        <v>262</v>
      </c>
      <c r="N1177" t="s">
        <v>80</v>
      </c>
    </row>
    <row r="1178" spans="1:14" x14ac:dyDescent="0.25">
      <c r="A1178" s="143" t="s">
        <v>4450</v>
      </c>
      <c r="B1178" s="114"/>
      <c r="C1178" t="s">
        <v>4531</v>
      </c>
      <c r="D1178" s="91"/>
      <c r="G1178" s="91" t="s">
        <v>5865</v>
      </c>
      <c r="H1178" s="91" t="s">
        <v>5866</v>
      </c>
      <c r="L1178" s="13">
        <v>0</v>
      </c>
      <c r="M1178" t="s">
        <v>262</v>
      </c>
      <c r="N1178" t="s">
        <v>80</v>
      </c>
    </row>
    <row r="1179" spans="1:14" x14ac:dyDescent="0.25">
      <c r="A1179" s="143" t="s">
        <v>4450</v>
      </c>
      <c r="B1179" s="114"/>
      <c r="C1179" t="s">
        <v>4529</v>
      </c>
      <c r="D1179" s="91"/>
      <c r="G1179" s="91" t="s">
        <v>5861</v>
      </c>
      <c r="H1179" s="91" t="s">
        <v>5862</v>
      </c>
      <c r="L1179" s="13">
        <v>0</v>
      </c>
      <c r="M1179" t="s">
        <v>262</v>
      </c>
      <c r="N1179" t="s">
        <v>80</v>
      </c>
    </row>
    <row r="1180" spans="1:14" x14ac:dyDescent="0.25">
      <c r="A1180" s="143" t="s">
        <v>4450</v>
      </c>
      <c r="B1180" s="114"/>
      <c r="C1180" t="s">
        <v>4467</v>
      </c>
      <c r="D1180" s="91"/>
      <c r="G1180" s="91" t="s">
        <v>5738</v>
      </c>
      <c r="H1180" s="91" t="s">
        <v>5739</v>
      </c>
      <c r="L1180" s="13">
        <v>0</v>
      </c>
      <c r="M1180" t="s">
        <v>158</v>
      </c>
      <c r="N1180" t="s">
        <v>80</v>
      </c>
    </row>
    <row r="1181" spans="1:14" x14ac:dyDescent="0.25">
      <c r="A1181" s="143" t="s">
        <v>4450</v>
      </c>
      <c r="B1181" s="114"/>
      <c r="C1181" t="s">
        <v>4452</v>
      </c>
      <c r="D1181" s="91"/>
      <c r="G1181" s="91" t="s">
        <v>5708</v>
      </c>
      <c r="H1181" s="91" t="s">
        <v>5709</v>
      </c>
      <c r="L1181" s="13">
        <v>0</v>
      </c>
      <c r="M1181" t="s">
        <v>195</v>
      </c>
      <c r="N1181" t="s">
        <v>80</v>
      </c>
    </row>
    <row r="1182" spans="1:14" x14ac:dyDescent="0.25">
      <c r="A1182" s="143" t="s">
        <v>4450</v>
      </c>
      <c r="B1182" s="114"/>
      <c r="C1182" t="s">
        <v>4511</v>
      </c>
      <c r="D1182" s="91"/>
      <c r="G1182" s="91" t="s">
        <v>5825</v>
      </c>
      <c r="H1182" s="91" t="s">
        <v>5826</v>
      </c>
      <c r="L1182" s="13">
        <v>0</v>
      </c>
      <c r="M1182" t="s">
        <v>262</v>
      </c>
      <c r="N1182" t="s">
        <v>80</v>
      </c>
    </row>
    <row r="1183" spans="1:14" x14ac:dyDescent="0.25">
      <c r="A1183" s="143" t="s">
        <v>4450</v>
      </c>
      <c r="B1183" s="114"/>
      <c r="C1183" t="s">
        <v>4498</v>
      </c>
      <c r="D1183" s="91"/>
      <c r="G1183" s="91" t="s">
        <v>5799</v>
      </c>
      <c r="H1183" s="91" t="s">
        <v>5800</v>
      </c>
      <c r="L1183" s="13">
        <v>0</v>
      </c>
      <c r="M1183" t="s">
        <v>195</v>
      </c>
      <c r="N1183" t="s">
        <v>80</v>
      </c>
    </row>
    <row r="1184" spans="1:14" x14ac:dyDescent="0.25">
      <c r="A1184" s="143" t="s">
        <v>4450</v>
      </c>
      <c r="B1184" s="114"/>
      <c r="C1184" t="s">
        <v>4453</v>
      </c>
      <c r="D1184" s="91"/>
      <c r="G1184" s="91" t="s">
        <v>5710</v>
      </c>
      <c r="H1184" s="91" t="s">
        <v>5711</v>
      </c>
      <c r="L1184" s="13">
        <v>0</v>
      </c>
      <c r="M1184" t="s">
        <v>195</v>
      </c>
      <c r="N1184" t="s">
        <v>80</v>
      </c>
    </row>
    <row r="1185" spans="1:15" x14ac:dyDescent="0.25">
      <c r="A1185" s="143" t="s">
        <v>4450</v>
      </c>
      <c r="B1185" s="114"/>
      <c r="C1185" t="s">
        <v>4530</v>
      </c>
      <c r="D1185" s="91"/>
      <c r="G1185" s="91" t="s">
        <v>5863</v>
      </c>
      <c r="H1185" s="91" t="s">
        <v>5864</v>
      </c>
      <c r="L1185" s="13">
        <v>0</v>
      </c>
      <c r="M1185" t="s">
        <v>262</v>
      </c>
      <c r="N1185" t="s">
        <v>80</v>
      </c>
    </row>
    <row r="1186" spans="1:15" x14ac:dyDescent="0.25">
      <c r="A1186" s="143" t="s">
        <v>4450</v>
      </c>
      <c r="B1186" s="114"/>
      <c r="C1186" t="s">
        <v>4532</v>
      </c>
      <c r="D1186" s="91"/>
      <c r="G1186" s="91" t="s">
        <v>5867</v>
      </c>
      <c r="H1186" s="91" t="s">
        <v>5868</v>
      </c>
      <c r="L1186" s="13">
        <v>0</v>
      </c>
      <c r="M1186" t="s">
        <v>262</v>
      </c>
      <c r="N1186" t="s">
        <v>80</v>
      </c>
    </row>
    <row r="1187" spans="1:15" x14ac:dyDescent="0.25">
      <c r="A1187" s="143" t="s">
        <v>4450</v>
      </c>
      <c r="B1187" s="114"/>
      <c r="C1187" t="s">
        <v>4474</v>
      </c>
      <c r="G1187" s="91" t="s">
        <v>5751</v>
      </c>
      <c r="H1187" s="91" t="s">
        <v>5752</v>
      </c>
      <c r="L1187" s="13">
        <v>0</v>
      </c>
      <c r="M1187" t="s">
        <v>158</v>
      </c>
      <c r="N1187" t="s">
        <v>80</v>
      </c>
    </row>
    <row r="1188" spans="1:15" x14ac:dyDescent="0.25">
      <c r="A1188" s="143" t="s">
        <v>4450</v>
      </c>
      <c r="B1188" s="114"/>
      <c r="C1188" t="s">
        <v>4463</v>
      </c>
      <c r="G1188" s="91" t="s">
        <v>5730</v>
      </c>
      <c r="H1188" s="91" t="s">
        <v>5731</v>
      </c>
      <c r="L1188" s="13">
        <v>0</v>
      </c>
      <c r="M1188" t="s">
        <v>195</v>
      </c>
      <c r="N1188" t="s">
        <v>80</v>
      </c>
    </row>
    <row r="1189" spans="1:15" x14ac:dyDescent="0.25">
      <c r="A1189" s="143" t="s">
        <v>4450</v>
      </c>
      <c r="B1189" s="114"/>
      <c r="C1189" t="s">
        <v>4524</v>
      </c>
      <c r="D1189" s="91"/>
      <c r="G1189" s="91" t="s">
        <v>5851</v>
      </c>
      <c r="H1189" s="91" t="s">
        <v>5852</v>
      </c>
      <c r="L1189" s="13">
        <v>0</v>
      </c>
      <c r="M1189" t="s">
        <v>262</v>
      </c>
      <c r="N1189" t="s">
        <v>80</v>
      </c>
    </row>
    <row r="1190" spans="1:15" x14ac:dyDescent="0.25">
      <c r="A1190" s="143" t="s">
        <v>4450</v>
      </c>
      <c r="B1190" s="114"/>
      <c r="C1190" t="s">
        <v>4506</v>
      </c>
      <c r="D1190" s="91"/>
      <c r="G1190" s="91" t="s">
        <v>5815</v>
      </c>
      <c r="H1190" s="91" t="s">
        <v>5816</v>
      </c>
      <c r="L1190" s="13">
        <v>0</v>
      </c>
      <c r="M1190" t="s">
        <v>195</v>
      </c>
      <c r="N1190" t="s">
        <v>80</v>
      </c>
    </row>
    <row r="1191" spans="1:15" x14ac:dyDescent="0.25">
      <c r="A1191" s="143" t="s">
        <v>4450</v>
      </c>
      <c r="B1191" s="114"/>
      <c r="C1191" t="s">
        <v>4473</v>
      </c>
      <c r="D1191" s="91"/>
      <c r="G1191" s="91" t="s">
        <v>5749</v>
      </c>
      <c r="H1191" s="91" t="s">
        <v>5750</v>
      </c>
      <c r="L1191" s="13">
        <v>0</v>
      </c>
      <c r="M1191" t="s">
        <v>158</v>
      </c>
      <c r="N1191" t="s">
        <v>80</v>
      </c>
    </row>
    <row r="1192" spans="1:15" x14ac:dyDescent="0.25">
      <c r="A1192" s="143" t="s">
        <v>4450</v>
      </c>
      <c r="B1192" s="114"/>
      <c r="C1192" t="s">
        <v>4523</v>
      </c>
      <c r="D1192" s="91"/>
      <c r="G1192" s="91" t="s">
        <v>5849</v>
      </c>
      <c r="H1192" s="91" t="s">
        <v>5850</v>
      </c>
      <c r="L1192" s="13">
        <v>0</v>
      </c>
      <c r="M1192" t="s">
        <v>262</v>
      </c>
      <c r="N1192" t="s">
        <v>80</v>
      </c>
    </row>
    <row r="1193" spans="1:15" x14ac:dyDescent="0.25">
      <c r="A1193" s="143" t="s">
        <v>4450</v>
      </c>
      <c r="B1193" s="114"/>
      <c r="C1193" t="s">
        <v>4464</v>
      </c>
      <c r="D1193" s="91"/>
      <c r="G1193" s="91" t="s">
        <v>5732</v>
      </c>
      <c r="H1193" s="91" t="s">
        <v>5733</v>
      </c>
      <c r="L1193" s="13">
        <v>0</v>
      </c>
      <c r="M1193" t="s">
        <v>195</v>
      </c>
      <c r="N1193" t="s">
        <v>80</v>
      </c>
    </row>
    <row r="1194" spans="1:15" x14ac:dyDescent="0.25">
      <c r="A1194" s="143" t="s">
        <v>4450</v>
      </c>
      <c r="B1194" s="114"/>
      <c r="C1194" t="s">
        <v>4507</v>
      </c>
      <c r="D1194" s="91"/>
      <c r="G1194" s="91" t="s">
        <v>5817</v>
      </c>
      <c r="H1194" s="91" t="s">
        <v>5818</v>
      </c>
      <c r="L1194" s="13">
        <v>0</v>
      </c>
      <c r="M1194" t="s">
        <v>195</v>
      </c>
      <c r="N1194" t="s">
        <v>80</v>
      </c>
    </row>
    <row r="1195" spans="1:15" x14ac:dyDescent="0.25">
      <c r="A1195" s="143" t="s">
        <v>4450</v>
      </c>
      <c r="B1195" s="114"/>
      <c r="C1195" t="s">
        <v>4475</v>
      </c>
      <c r="D1195" s="91"/>
      <c r="G1195" s="91" t="s">
        <v>5753</v>
      </c>
      <c r="H1195" s="91" t="s">
        <v>5754</v>
      </c>
      <c r="L1195" s="13">
        <v>0</v>
      </c>
      <c r="M1195" t="s">
        <v>158</v>
      </c>
      <c r="N1195" t="s">
        <v>80</v>
      </c>
    </row>
    <row r="1196" spans="1:15" x14ac:dyDescent="0.25">
      <c r="A1196" s="143" t="s">
        <v>4450</v>
      </c>
      <c r="B1196" s="114"/>
      <c r="C1196" t="s">
        <v>4525</v>
      </c>
      <c r="D1196" s="91"/>
      <c r="G1196" s="91" t="s">
        <v>5853</v>
      </c>
      <c r="H1196" s="91" t="s">
        <v>5854</v>
      </c>
      <c r="L1196" s="13">
        <v>0</v>
      </c>
      <c r="M1196" t="s">
        <v>262</v>
      </c>
      <c r="N1196" t="s">
        <v>80</v>
      </c>
    </row>
    <row r="1197" spans="1:15" x14ac:dyDescent="0.25">
      <c r="A1197" s="123" t="s">
        <v>4739</v>
      </c>
      <c r="B1197" s="124">
        <v>0</v>
      </c>
      <c r="C1197" s="125" t="s">
        <v>93</v>
      </c>
      <c r="D1197" s="125" t="s">
        <v>1927</v>
      </c>
      <c r="E1197" s="126" t="s">
        <v>2139</v>
      </c>
      <c r="F1197" s="125" t="s">
        <v>2187</v>
      </c>
      <c r="G1197" s="125" t="s">
        <v>277</v>
      </c>
      <c r="H1197" s="125" t="s">
        <v>278</v>
      </c>
      <c r="I1197" s="125" t="s">
        <v>2320</v>
      </c>
      <c r="J1197" s="127"/>
      <c r="K1197" s="124">
        <v>1</v>
      </c>
      <c r="L1197" s="124" t="s">
        <v>605</v>
      </c>
      <c r="M1197" s="125" t="s">
        <v>91</v>
      </c>
      <c r="N1197" s="123" t="s">
        <v>80</v>
      </c>
      <c r="O1197" s="123"/>
    </row>
    <row r="1198" spans="1:15" x14ac:dyDescent="0.25">
      <c r="A1198" s="123" t="s">
        <v>4739</v>
      </c>
      <c r="B1198" s="124">
        <v>1</v>
      </c>
      <c r="C1198" s="125" t="s">
        <v>4144</v>
      </c>
      <c r="D1198" s="125" t="s">
        <v>6776</v>
      </c>
      <c r="E1198" s="126"/>
      <c r="F1198" s="125"/>
      <c r="G1198" s="125"/>
      <c r="H1198" s="125"/>
      <c r="I1198" s="125"/>
      <c r="J1198" s="127"/>
      <c r="K1198" s="124"/>
      <c r="L1198" s="124" t="s">
        <v>605</v>
      </c>
      <c r="M1198" s="125" t="s">
        <v>91</v>
      </c>
      <c r="N1198" s="123" t="s">
        <v>80</v>
      </c>
      <c r="O1198" s="123"/>
    </row>
    <row r="1199" spans="1:15" x14ac:dyDescent="0.25">
      <c r="A1199" s="143" t="s">
        <v>4739</v>
      </c>
      <c r="B1199" s="114">
        <v>2</v>
      </c>
      <c r="C1199" t="s">
        <v>4145</v>
      </c>
      <c r="D1199" s="91" t="s">
        <v>6775</v>
      </c>
      <c r="G1199" s="91" t="s">
        <v>465</v>
      </c>
      <c r="H1199" s="91" t="s">
        <v>5084</v>
      </c>
      <c r="L1199" s="13" t="s">
        <v>605</v>
      </c>
      <c r="M1199" t="s">
        <v>100</v>
      </c>
      <c r="N1199" t="s">
        <v>80</v>
      </c>
    </row>
    <row r="1200" spans="1:15" x14ac:dyDescent="0.25">
      <c r="A1200" s="123" t="s">
        <v>4739</v>
      </c>
      <c r="B1200" s="124">
        <v>3</v>
      </c>
      <c r="C1200" s="125" t="s">
        <v>6443</v>
      </c>
      <c r="D1200" s="125" t="s">
        <v>6746</v>
      </c>
      <c r="E1200" s="126"/>
      <c r="F1200" s="125"/>
      <c r="G1200" s="125"/>
      <c r="H1200" s="125"/>
      <c r="I1200" s="125"/>
      <c r="J1200" s="127"/>
      <c r="K1200" s="124"/>
      <c r="L1200" s="128" t="s">
        <v>605</v>
      </c>
      <c r="M1200" s="62" t="s">
        <v>91</v>
      </c>
      <c r="N1200" s="123" t="s">
        <v>80</v>
      </c>
      <c r="O1200" s="123"/>
    </row>
    <row r="1201" spans="1:15" x14ac:dyDescent="0.25">
      <c r="A1201" s="123" t="s">
        <v>4739</v>
      </c>
      <c r="B1201" s="124">
        <v>4</v>
      </c>
      <c r="C1201" s="125" t="s">
        <v>116</v>
      </c>
      <c r="D1201" s="127" t="s">
        <v>6747</v>
      </c>
      <c r="E1201" s="126"/>
      <c r="F1201" s="125"/>
      <c r="G1201" s="125"/>
      <c r="H1201" s="125"/>
      <c r="I1201" s="125"/>
      <c r="J1201" s="127"/>
      <c r="K1201" s="124"/>
      <c r="L1201" s="128" t="s">
        <v>605</v>
      </c>
      <c r="M1201" s="125" t="s">
        <v>100</v>
      </c>
      <c r="N1201" s="123" t="s">
        <v>80</v>
      </c>
      <c r="O1201" s="123"/>
    </row>
    <row r="1202" spans="1:15" x14ac:dyDescent="0.25">
      <c r="A1202" s="123" t="s">
        <v>4739</v>
      </c>
      <c r="B1202" s="124">
        <v>5</v>
      </c>
      <c r="C1202" s="125" t="s">
        <v>267</v>
      </c>
      <c r="D1202" s="125" t="s">
        <v>6496</v>
      </c>
      <c r="E1202" s="126" t="s">
        <v>1602</v>
      </c>
      <c r="F1202" s="125" t="s">
        <v>2232</v>
      </c>
      <c r="G1202" s="125" t="s">
        <v>480</v>
      </c>
      <c r="H1202" s="125" t="s">
        <v>481</v>
      </c>
      <c r="I1202" s="125" t="s">
        <v>2232</v>
      </c>
      <c r="J1202" s="127"/>
      <c r="K1202" s="124">
        <v>0</v>
      </c>
      <c r="L1202" s="128" t="s">
        <v>605</v>
      </c>
      <c r="M1202" s="125" t="s">
        <v>153</v>
      </c>
      <c r="N1202" s="123" t="s">
        <v>80</v>
      </c>
      <c r="O1202" s="123"/>
    </row>
    <row r="1203" spans="1:15" s="123" customFormat="1" x14ac:dyDescent="0.25">
      <c r="A1203" s="123" t="s">
        <v>4739</v>
      </c>
      <c r="B1203" s="124">
        <v>6</v>
      </c>
      <c r="C1203" s="125" t="s">
        <v>6946</v>
      </c>
      <c r="D1203" s="127" t="s">
        <v>6778</v>
      </c>
      <c r="E1203" s="126"/>
      <c r="F1203" s="125"/>
      <c r="G1203" s="125"/>
      <c r="H1203" s="125"/>
      <c r="I1203" s="125"/>
      <c r="J1203" s="127"/>
      <c r="K1203" s="124"/>
      <c r="L1203" s="128" t="s">
        <v>605</v>
      </c>
      <c r="M1203" s="125" t="s">
        <v>100</v>
      </c>
      <c r="N1203" s="123" t="s">
        <v>80</v>
      </c>
    </row>
    <row r="1204" spans="1:15" x14ac:dyDescent="0.25">
      <c r="A1204" s="143" t="s">
        <v>4739</v>
      </c>
      <c r="B1204" s="114"/>
      <c r="C1204" t="s">
        <v>4760</v>
      </c>
      <c r="D1204" s="91"/>
      <c r="G1204" s="91" t="s">
        <v>6308</v>
      </c>
      <c r="H1204" s="91" t="s">
        <v>6309</v>
      </c>
      <c r="L1204" s="13">
        <v>0</v>
      </c>
      <c r="M1204" t="s">
        <v>6396</v>
      </c>
      <c r="N1204" t="s">
        <v>80</v>
      </c>
    </row>
    <row r="1205" spans="1:15" x14ac:dyDescent="0.25">
      <c r="A1205" s="143" t="s">
        <v>4739</v>
      </c>
      <c r="B1205" s="114"/>
      <c r="C1205" t="s">
        <v>4765</v>
      </c>
      <c r="D1205" s="91"/>
      <c r="G1205" s="91" t="s">
        <v>6318</v>
      </c>
      <c r="H1205" s="91" t="s">
        <v>6319</v>
      </c>
      <c r="L1205" s="13">
        <v>0</v>
      </c>
      <c r="M1205" t="s">
        <v>163</v>
      </c>
      <c r="N1205" t="s">
        <v>80</v>
      </c>
    </row>
    <row r="1206" spans="1:15" x14ac:dyDescent="0.25">
      <c r="A1206" s="143" t="s">
        <v>4739</v>
      </c>
      <c r="B1206" s="114"/>
      <c r="C1206" t="s">
        <v>4750</v>
      </c>
      <c r="D1206" s="91"/>
      <c r="G1206" s="91" t="s">
        <v>6288</v>
      </c>
      <c r="H1206" s="91" t="s">
        <v>6289</v>
      </c>
      <c r="L1206" s="13">
        <v>0</v>
      </c>
      <c r="M1206" t="s">
        <v>262</v>
      </c>
      <c r="N1206" t="s">
        <v>80</v>
      </c>
    </row>
    <row r="1207" spans="1:15" x14ac:dyDescent="0.25">
      <c r="A1207" s="143" t="s">
        <v>4739</v>
      </c>
      <c r="B1207" s="114"/>
      <c r="C1207" t="s">
        <v>4753</v>
      </c>
      <c r="D1207" s="91"/>
      <c r="G1207" s="91" t="s">
        <v>6294</v>
      </c>
      <c r="H1207" s="91" t="s">
        <v>6295</v>
      </c>
      <c r="L1207" s="13">
        <v>0</v>
      </c>
      <c r="M1207" t="s">
        <v>262</v>
      </c>
      <c r="N1207" t="s">
        <v>80</v>
      </c>
    </row>
    <row r="1208" spans="1:15" x14ac:dyDescent="0.25">
      <c r="A1208" s="143" t="s">
        <v>4739</v>
      </c>
      <c r="B1208" s="114"/>
      <c r="C1208" t="s">
        <v>4763</v>
      </c>
      <c r="D1208" s="91"/>
      <c r="G1208" s="91" t="s">
        <v>6314</v>
      </c>
      <c r="H1208" s="91" t="s">
        <v>6315</v>
      </c>
      <c r="L1208" s="13">
        <v>0</v>
      </c>
      <c r="M1208" t="s">
        <v>163</v>
      </c>
      <c r="N1208" t="s">
        <v>80</v>
      </c>
    </row>
    <row r="1209" spans="1:15" x14ac:dyDescent="0.25">
      <c r="A1209" s="143" t="s">
        <v>4739</v>
      </c>
      <c r="B1209" s="114"/>
      <c r="C1209" t="s">
        <v>4769</v>
      </c>
      <c r="D1209" s="91"/>
      <c r="G1209" s="91" t="s">
        <v>6326</v>
      </c>
      <c r="H1209" s="91" t="s">
        <v>6327</v>
      </c>
      <c r="L1209" s="13">
        <v>0</v>
      </c>
      <c r="M1209" t="s">
        <v>6397</v>
      </c>
      <c r="N1209" t="s">
        <v>80</v>
      </c>
    </row>
    <row r="1210" spans="1:15" x14ac:dyDescent="0.25">
      <c r="A1210" s="143" t="s">
        <v>4739</v>
      </c>
      <c r="B1210" s="114"/>
      <c r="C1210" t="s">
        <v>4741</v>
      </c>
      <c r="D1210" s="91"/>
      <c r="G1210" s="91" t="s">
        <v>6270</v>
      </c>
      <c r="H1210" s="91" t="s">
        <v>6271</v>
      </c>
      <c r="L1210" s="13">
        <v>0</v>
      </c>
      <c r="M1210" t="s">
        <v>6364</v>
      </c>
      <c r="N1210" t="s">
        <v>80</v>
      </c>
    </row>
    <row r="1211" spans="1:15" x14ac:dyDescent="0.25">
      <c r="A1211" s="143" t="s">
        <v>4739</v>
      </c>
      <c r="B1211" s="114"/>
      <c r="C1211" t="s">
        <v>4747</v>
      </c>
      <c r="D1211" s="91"/>
      <c r="G1211" s="91" t="s">
        <v>6282</v>
      </c>
      <c r="H1211" s="91" t="s">
        <v>6283</v>
      </c>
      <c r="L1211" s="13">
        <v>0</v>
      </c>
      <c r="M1211" t="s">
        <v>6394</v>
      </c>
      <c r="N1211" t="s">
        <v>80</v>
      </c>
    </row>
    <row r="1212" spans="1:15" x14ac:dyDescent="0.25">
      <c r="A1212" s="143" t="s">
        <v>4739</v>
      </c>
      <c r="B1212" s="114"/>
      <c r="C1212" t="s">
        <v>4758</v>
      </c>
      <c r="D1212" s="91"/>
      <c r="G1212" s="91" t="s">
        <v>6304</v>
      </c>
      <c r="H1212" s="91" t="s">
        <v>6305</v>
      </c>
      <c r="L1212" s="13">
        <v>0</v>
      </c>
      <c r="M1212" t="s">
        <v>266</v>
      </c>
      <c r="N1212" t="s">
        <v>80</v>
      </c>
    </row>
    <row r="1213" spans="1:15" x14ac:dyDescent="0.25">
      <c r="A1213" s="143" t="s">
        <v>4739</v>
      </c>
      <c r="B1213" s="114"/>
      <c r="C1213" t="s">
        <v>4759</v>
      </c>
      <c r="D1213" s="91"/>
      <c r="G1213" s="91" t="s">
        <v>6306</v>
      </c>
      <c r="H1213" s="91" t="s">
        <v>6307</v>
      </c>
      <c r="L1213" s="13">
        <v>0</v>
      </c>
      <c r="M1213" t="s">
        <v>6395</v>
      </c>
      <c r="N1213" t="s">
        <v>80</v>
      </c>
    </row>
    <row r="1214" spans="1:15" x14ac:dyDescent="0.25">
      <c r="A1214" s="143" t="s">
        <v>4739</v>
      </c>
      <c r="B1214" s="114"/>
      <c r="C1214" t="s">
        <v>4755</v>
      </c>
      <c r="D1214" s="91"/>
      <c r="G1214" s="91" t="s">
        <v>6298</v>
      </c>
      <c r="H1214" s="91" t="s">
        <v>6299</v>
      </c>
      <c r="L1214" s="13">
        <v>0</v>
      </c>
      <c r="M1214" t="s">
        <v>6377</v>
      </c>
      <c r="N1214" t="s">
        <v>80</v>
      </c>
    </row>
    <row r="1215" spans="1:15" x14ac:dyDescent="0.25">
      <c r="A1215" s="143" t="s">
        <v>4739</v>
      </c>
      <c r="B1215" s="114"/>
      <c r="C1215" t="s">
        <v>4748</v>
      </c>
      <c r="D1215" s="91"/>
      <c r="G1215" s="91" t="s">
        <v>6284</v>
      </c>
      <c r="H1215" s="91" t="s">
        <v>6285</v>
      </c>
      <c r="L1215" s="13">
        <v>0</v>
      </c>
      <c r="M1215" t="s">
        <v>262</v>
      </c>
      <c r="N1215" t="s">
        <v>80</v>
      </c>
    </row>
    <row r="1216" spans="1:15" x14ac:dyDescent="0.25">
      <c r="A1216" s="143" t="s">
        <v>4739</v>
      </c>
      <c r="B1216" s="114"/>
      <c r="C1216" t="s">
        <v>4771</v>
      </c>
      <c r="D1216" s="91"/>
      <c r="G1216" s="91" t="s">
        <v>6330</v>
      </c>
      <c r="H1216" s="91" t="s">
        <v>6331</v>
      </c>
      <c r="L1216" s="13">
        <v>0</v>
      </c>
      <c r="M1216" t="s">
        <v>195</v>
      </c>
      <c r="N1216" t="s">
        <v>80</v>
      </c>
    </row>
    <row r="1217" spans="1:14" x14ac:dyDescent="0.25">
      <c r="A1217" s="143" t="s">
        <v>4739</v>
      </c>
      <c r="B1217" s="114"/>
      <c r="C1217" t="s">
        <v>4740</v>
      </c>
      <c r="D1217" s="91"/>
      <c r="G1217" s="91" t="s">
        <v>6268</v>
      </c>
      <c r="H1217" s="91" t="s">
        <v>6269</v>
      </c>
      <c r="L1217" s="13">
        <v>0</v>
      </c>
      <c r="M1217" t="s">
        <v>195</v>
      </c>
      <c r="N1217" t="s">
        <v>80</v>
      </c>
    </row>
    <row r="1218" spans="1:14" x14ac:dyDescent="0.25">
      <c r="A1218" s="143" t="s">
        <v>4739</v>
      </c>
      <c r="B1218" s="114"/>
      <c r="C1218" t="s">
        <v>4742</v>
      </c>
      <c r="D1218" s="91"/>
      <c r="G1218" s="91" t="s">
        <v>6272</v>
      </c>
      <c r="H1218" s="91" t="s">
        <v>6273</v>
      </c>
      <c r="L1218" s="13">
        <v>0</v>
      </c>
      <c r="M1218" t="s">
        <v>6364</v>
      </c>
      <c r="N1218" t="s">
        <v>80</v>
      </c>
    </row>
    <row r="1219" spans="1:14" x14ac:dyDescent="0.25">
      <c r="A1219" s="143" t="s">
        <v>4739</v>
      </c>
      <c r="B1219" s="114"/>
      <c r="C1219" t="s">
        <v>4772</v>
      </c>
      <c r="D1219" s="91"/>
      <c r="G1219" s="91" t="s">
        <v>6332</v>
      </c>
      <c r="H1219" s="91" t="s">
        <v>6333</v>
      </c>
      <c r="L1219" s="13">
        <v>0</v>
      </c>
      <c r="M1219" t="s">
        <v>6397</v>
      </c>
      <c r="N1219" t="s">
        <v>80</v>
      </c>
    </row>
    <row r="1220" spans="1:14" x14ac:dyDescent="0.25">
      <c r="A1220" s="143" t="s">
        <v>4739</v>
      </c>
      <c r="B1220" s="114"/>
      <c r="C1220" t="s">
        <v>4743</v>
      </c>
      <c r="D1220" s="91"/>
      <c r="G1220" s="91" t="s">
        <v>6274</v>
      </c>
      <c r="H1220" s="91" t="s">
        <v>6275</v>
      </c>
      <c r="L1220" s="13">
        <v>0</v>
      </c>
      <c r="M1220" t="s">
        <v>6365</v>
      </c>
      <c r="N1220" t="s">
        <v>80</v>
      </c>
    </row>
    <row r="1221" spans="1:14" x14ac:dyDescent="0.25">
      <c r="A1221" s="143" t="s">
        <v>4739</v>
      </c>
      <c r="B1221" s="114"/>
      <c r="C1221" t="s">
        <v>4744</v>
      </c>
      <c r="D1221" s="91"/>
      <c r="G1221" s="91" t="s">
        <v>6276</v>
      </c>
      <c r="H1221" s="91" t="s">
        <v>6277</v>
      </c>
      <c r="L1221" s="13">
        <v>0</v>
      </c>
      <c r="M1221" t="s">
        <v>6392</v>
      </c>
      <c r="N1221" t="s">
        <v>80</v>
      </c>
    </row>
    <row r="1222" spans="1:14" x14ac:dyDescent="0.25">
      <c r="A1222" s="143" t="s">
        <v>4739</v>
      </c>
      <c r="B1222" s="114"/>
      <c r="C1222" t="s">
        <v>4746</v>
      </c>
      <c r="D1222" s="91"/>
      <c r="G1222" s="91" t="s">
        <v>6280</v>
      </c>
      <c r="H1222" s="91" t="s">
        <v>6281</v>
      </c>
      <c r="L1222" s="13">
        <v>0</v>
      </c>
      <c r="M1222" t="s">
        <v>6393</v>
      </c>
      <c r="N1222" t="s">
        <v>80</v>
      </c>
    </row>
    <row r="1223" spans="1:14" x14ac:dyDescent="0.25">
      <c r="A1223" s="143" t="s">
        <v>4739</v>
      </c>
      <c r="B1223" s="114"/>
      <c r="C1223" t="s">
        <v>4745</v>
      </c>
      <c r="D1223" s="91"/>
      <c r="G1223" s="91" t="s">
        <v>6278</v>
      </c>
      <c r="H1223" s="91" t="s">
        <v>6279</v>
      </c>
      <c r="L1223" s="13">
        <v>0</v>
      </c>
      <c r="M1223" t="s">
        <v>6386</v>
      </c>
      <c r="N1223" t="s">
        <v>80</v>
      </c>
    </row>
    <row r="1224" spans="1:14" x14ac:dyDescent="0.25">
      <c r="A1224" s="143" t="s">
        <v>4739</v>
      </c>
      <c r="B1224" s="114"/>
      <c r="C1224" t="s">
        <v>4749</v>
      </c>
      <c r="D1224" s="91"/>
      <c r="G1224" s="91" t="s">
        <v>6286</v>
      </c>
      <c r="H1224" s="91" t="s">
        <v>6287</v>
      </c>
      <c r="L1224" s="13">
        <v>0</v>
      </c>
      <c r="M1224" t="s">
        <v>262</v>
      </c>
      <c r="N1224" t="s">
        <v>80</v>
      </c>
    </row>
    <row r="1225" spans="1:14" x14ac:dyDescent="0.25">
      <c r="A1225" s="143" t="s">
        <v>4739</v>
      </c>
      <c r="B1225" s="114"/>
      <c r="C1225" t="s">
        <v>4756</v>
      </c>
      <c r="D1225" s="91"/>
      <c r="G1225" s="91" t="s">
        <v>6300</v>
      </c>
      <c r="H1225" s="91" t="s">
        <v>6301</v>
      </c>
      <c r="L1225" s="13">
        <v>0</v>
      </c>
      <c r="M1225" t="s">
        <v>6377</v>
      </c>
      <c r="N1225" t="s">
        <v>80</v>
      </c>
    </row>
    <row r="1226" spans="1:14" x14ac:dyDescent="0.25">
      <c r="A1226" s="143" t="s">
        <v>4739</v>
      </c>
      <c r="B1226" s="114"/>
      <c r="C1226" t="s">
        <v>4766</v>
      </c>
      <c r="D1226" s="91"/>
      <c r="G1226" s="91" t="s">
        <v>6320</v>
      </c>
      <c r="H1226" s="91" t="s">
        <v>6321</v>
      </c>
      <c r="L1226" s="13">
        <v>0</v>
      </c>
      <c r="M1226" t="s">
        <v>163</v>
      </c>
      <c r="N1226" t="s">
        <v>80</v>
      </c>
    </row>
    <row r="1227" spans="1:14" x14ac:dyDescent="0.25">
      <c r="A1227" s="143" t="s">
        <v>4739</v>
      </c>
      <c r="B1227" s="114"/>
      <c r="C1227" t="s">
        <v>4751</v>
      </c>
      <c r="D1227" s="91"/>
      <c r="G1227" s="91" t="s">
        <v>6290</v>
      </c>
      <c r="H1227" s="91" t="s">
        <v>6291</v>
      </c>
      <c r="L1227" s="13">
        <v>0</v>
      </c>
      <c r="M1227" t="s">
        <v>262</v>
      </c>
      <c r="N1227" t="s">
        <v>80</v>
      </c>
    </row>
    <row r="1228" spans="1:14" x14ac:dyDescent="0.25">
      <c r="A1228" s="143" t="s">
        <v>4739</v>
      </c>
      <c r="B1228" s="114"/>
      <c r="C1228" t="s">
        <v>4757</v>
      </c>
      <c r="D1228" s="91"/>
      <c r="G1228" s="91" t="s">
        <v>6302</v>
      </c>
      <c r="H1228" s="91" t="s">
        <v>6303</v>
      </c>
      <c r="L1228" s="13">
        <v>0</v>
      </c>
      <c r="M1228" t="s">
        <v>6377</v>
      </c>
      <c r="N1228" t="s">
        <v>80</v>
      </c>
    </row>
    <row r="1229" spans="1:14" x14ac:dyDescent="0.25">
      <c r="A1229" s="143" t="s">
        <v>4739</v>
      </c>
      <c r="B1229" s="114"/>
      <c r="C1229" t="s">
        <v>4764</v>
      </c>
      <c r="D1229" s="91"/>
      <c r="G1229" s="91" t="s">
        <v>6316</v>
      </c>
      <c r="H1229" s="91" t="s">
        <v>6317</v>
      </c>
      <c r="L1229" s="13">
        <v>0</v>
      </c>
      <c r="M1229" t="s">
        <v>163</v>
      </c>
      <c r="N1229" t="s">
        <v>80</v>
      </c>
    </row>
    <row r="1230" spans="1:14" x14ac:dyDescent="0.25">
      <c r="A1230" s="143" t="s">
        <v>4739</v>
      </c>
      <c r="B1230" s="114"/>
      <c r="C1230" t="s">
        <v>4770</v>
      </c>
      <c r="D1230" s="91"/>
      <c r="G1230" s="91" t="s">
        <v>6328</v>
      </c>
      <c r="H1230" s="91" t="s">
        <v>6329</v>
      </c>
      <c r="L1230" s="13">
        <v>0</v>
      </c>
      <c r="M1230" t="s">
        <v>6397</v>
      </c>
      <c r="N1230" t="s">
        <v>80</v>
      </c>
    </row>
    <row r="1231" spans="1:14" x14ac:dyDescent="0.25">
      <c r="A1231" s="143" t="s">
        <v>4739</v>
      </c>
      <c r="B1231" s="114"/>
      <c r="C1231" t="s">
        <v>4767</v>
      </c>
      <c r="D1231" s="91"/>
      <c r="G1231" s="91" t="s">
        <v>6322</v>
      </c>
      <c r="H1231" s="91" t="s">
        <v>6323</v>
      </c>
      <c r="L1231" s="13">
        <v>0</v>
      </c>
      <c r="M1231" t="s">
        <v>163</v>
      </c>
      <c r="N1231" t="s">
        <v>80</v>
      </c>
    </row>
    <row r="1232" spans="1:14" x14ac:dyDescent="0.25">
      <c r="A1232" s="143" t="s">
        <v>4739</v>
      </c>
      <c r="B1232" s="114"/>
      <c r="C1232" t="s">
        <v>4768</v>
      </c>
      <c r="D1232" s="91"/>
      <c r="G1232" s="91" t="s">
        <v>6324</v>
      </c>
      <c r="H1232" s="91" t="s">
        <v>6325</v>
      </c>
      <c r="L1232" s="13">
        <v>0</v>
      </c>
      <c r="M1232" t="s">
        <v>163</v>
      </c>
      <c r="N1232" t="s">
        <v>80</v>
      </c>
    </row>
    <row r="1233" spans="1:15" x14ac:dyDescent="0.25">
      <c r="A1233" s="143" t="s">
        <v>4739</v>
      </c>
      <c r="B1233" s="114"/>
      <c r="C1233" t="s">
        <v>4752</v>
      </c>
      <c r="D1233" s="91"/>
      <c r="G1233" s="91" t="s">
        <v>6292</v>
      </c>
      <c r="H1233" s="91" t="s">
        <v>6293</v>
      </c>
      <c r="L1233" s="13">
        <v>0</v>
      </c>
      <c r="M1233" t="s">
        <v>262</v>
      </c>
      <c r="N1233" t="s">
        <v>80</v>
      </c>
    </row>
    <row r="1234" spans="1:15" x14ac:dyDescent="0.25">
      <c r="A1234" s="143" t="s">
        <v>4739</v>
      </c>
      <c r="B1234" s="114"/>
      <c r="C1234" t="s">
        <v>4754</v>
      </c>
      <c r="D1234" s="91"/>
      <c r="G1234" s="91" t="s">
        <v>6296</v>
      </c>
      <c r="H1234" s="91" t="s">
        <v>6297</v>
      </c>
      <c r="L1234" s="13">
        <v>0</v>
      </c>
      <c r="M1234" t="s">
        <v>262</v>
      </c>
      <c r="N1234" t="s">
        <v>80</v>
      </c>
    </row>
    <row r="1235" spans="1:15" x14ac:dyDescent="0.25">
      <c r="A1235" s="143" t="s">
        <v>4739</v>
      </c>
      <c r="B1235" s="114"/>
      <c r="C1235" t="s">
        <v>4761</v>
      </c>
      <c r="D1235" s="91"/>
      <c r="G1235" s="91" t="s">
        <v>6310</v>
      </c>
      <c r="H1235" s="91" t="s">
        <v>6311</v>
      </c>
      <c r="L1235" s="13">
        <v>0</v>
      </c>
      <c r="M1235" t="s">
        <v>6396</v>
      </c>
      <c r="N1235" t="s">
        <v>80</v>
      </c>
    </row>
    <row r="1236" spans="1:15" x14ac:dyDescent="0.25">
      <c r="A1236" s="143" t="s">
        <v>4739</v>
      </c>
      <c r="B1236" s="114"/>
      <c r="C1236" t="s">
        <v>4762</v>
      </c>
      <c r="D1236" s="91"/>
      <c r="G1236" s="91" t="s">
        <v>6312</v>
      </c>
      <c r="H1236" s="91" t="s">
        <v>6313</v>
      </c>
      <c r="L1236" s="13">
        <v>0</v>
      </c>
      <c r="M1236" t="s">
        <v>6396</v>
      </c>
      <c r="N1236" t="s">
        <v>80</v>
      </c>
    </row>
    <row r="1237" spans="1:15" x14ac:dyDescent="0.25">
      <c r="A1237" s="123" t="s">
        <v>4567</v>
      </c>
      <c r="B1237" s="124">
        <v>0</v>
      </c>
      <c r="C1237" s="125" t="s">
        <v>93</v>
      </c>
      <c r="D1237" s="125" t="s">
        <v>1927</v>
      </c>
      <c r="E1237" s="126" t="s">
        <v>2139</v>
      </c>
      <c r="F1237" s="125" t="s">
        <v>2187</v>
      </c>
      <c r="G1237" s="125" t="s">
        <v>277</v>
      </c>
      <c r="H1237" s="125" t="s">
        <v>278</v>
      </c>
      <c r="I1237" s="125" t="s">
        <v>2320</v>
      </c>
      <c r="J1237" s="127"/>
      <c r="K1237" s="124">
        <v>1</v>
      </c>
      <c r="L1237" s="124" t="s">
        <v>605</v>
      </c>
      <c r="M1237" s="125" t="s">
        <v>91</v>
      </c>
      <c r="N1237" s="123" t="s">
        <v>80</v>
      </c>
      <c r="O1237" s="123"/>
    </row>
    <row r="1238" spans="1:15" x14ac:dyDescent="0.25">
      <c r="A1238" s="123" t="s">
        <v>4567</v>
      </c>
      <c r="B1238" s="124">
        <v>1</v>
      </c>
      <c r="C1238" s="125" t="s">
        <v>4144</v>
      </c>
      <c r="D1238" s="125" t="s">
        <v>6776</v>
      </c>
      <c r="E1238" s="126"/>
      <c r="F1238" s="125"/>
      <c r="G1238" s="125"/>
      <c r="H1238" s="125"/>
      <c r="I1238" s="125"/>
      <c r="J1238" s="127"/>
      <c r="K1238" s="124"/>
      <c r="L1238" s="124" t="s">
        <v>605</v>
      </c>
      <c r="M1238" s="125" t="s">
        <v>91</v>
      </c>
      <c r="N1238" s="123" t="s">
        <v>80</v>
      </c>
      <c r="O1238" s="123"/>
    </row>
    <row r="1239" spans="1:15" x14ac:dyDescent="0.25">
      <c r="A1239" s="143" t="s">
        <v>4567</v>
      </c>
      <c r="B1239" s="114">
        <v>2</v>
      </c>
      <c r="C1239" t="s">
        <v>4145</v>
      </c>
      <c r="D1239" s="91" t="s">
        <v>6775</v>
      </c>
      <c r="G1239" s="91" t="s">
        <v>465</v>
      </c>
      <c r="H1239" s="91" t="s">
        <v>5084</v>
      </c>
      <c r="L1239" s="13" t="s">
        <v>605</v>
      </c>
      <c r="M1239" t="s">
        <v>100</v>
      </c>
      <c r="N1239" t="s">
        <v>80</v>
      </c>
    </row>
    <row r="1240" spans="1:15" x14ac:dyDescent="0.25">
      <c r="A1240" s="123" t="s">
        <v>4567</v>
      </c>
      <c r="B1240" s="124">
        <v>3</v>
      </c>
      <c r="C1240" s="125" t="s">
        <v>6443</v>
      </c>
      <c r="D1240" s="125" t="s">
        <v>6746</v>
      </c>
      <c r="E1240" s="126"/>
      <c r="F1240" s="125"/>
      <c r="G1240" s="125"/>
      <c r="H1240" s="125"/>
      <c r="I1240" s="125"/>
      <c r="J1240" s="127"/>
      <c r="K1240" s="124"/>
      <c r="L1240" s="128" t="s">
        <v>605</v>
      </c>
      <c r="M1240" s="62" t="s">
        <v>91</v>
      </c>
      <c r="N1240" s="123" t="s">
        <v>80</v>
      </c>
      <c r="O1240" s="123"/>
    </row>
    <row r="1241" spans="1:15" x14ac:dyDescent="0.25">
      <c r="A1241" s="123" t="s">
        <v>4567</v>
      </c>
      <c r="B1241" s="124">
        <v>4</v>
      </c>
      <c r="C1241" s="125" t="s">
        <v>116</v>
      </c>
      <c r="D1241" s="127" t="s">
        <v>6747</v>
      </c>
      <c r="E1241" s="126"/>
      <c r="F1241" s="125"/>
      <c r="G1241" s="125"/>
      <c r="H1241" s="125"/>
      <c r="I1241" s="125"/>
      <c r="J1241" s="127"/>
      <c r="K1241" s="124"/>
      <c r="L1241" s="128" t="s">
        <v>605</v>
      </c>
      <c r="M1241" s="125" t="s">
        <v>100</v>
      </c>
      <c r="N1241" s="123" t="s">
        <v>80</v>
      </c>
      <c r="O1241" s="123"/>
    </row>
    <row r="1242" spans="1:15" s="123" customFormat="1" x14ac:dyDescent="0.25">
      <c r="A1242" s="123" t="s">
        <v>4567</v>
      </c>
      <c r="B1242" s="124">
        <v>5</v>
      </c>
      <c r="C1242" s="125" t="s">
        <v>267</v>
      </c>
      <c r="D1242" s="125" t="s">
        <v>6496</v>
      </c>
      <c r="E1242" s="126" t="s">
        <v>1602</v>
      </c>
      <c r="F1242" s="125" t="s">
        <v>2232</v>
      </c>
      <c r="G1242" s="125" t="s">
        <v>480</v>
      </c>
      <c r="H1242" s="125" t="s">
        <v>481</v>
      </c>
      <c r="I1242" s="125" t="s">
        <v>2232</v>
      </c>
      <c r="J1242" s="127"/>
      <c r="K1242" s="124">
        <v>0</v>
      </c>
      <c r="L1242" s="128" t="s">
        <v>605</v>
      </c>
      <c r="M1242" s="125" t="s">
        <v>153</v>
      </c>
      <c r="N1242" s="123" t="s">
        <v>80</v>
      </c>
    </row>
    <row r="1243" spans="1:15" x14ac:dyDescent="0.25">
      <c r="A1243" s="123" t="s">
        <v>4567</v>
      </c>
      <c r="B1243" s="124">
        <v>6</v>
      </c>
      <c r="C1243" s="125" t="s">
        <v>6946</v>
      </c>
      <c r="D1243" s="127" t="s">
        <v>6778</v>
      </c>
      <c r="E1243" s="126"/>
      <c r="F1243" s="125"/>
      <c r="G1243" s="125"/>
      <c r="H1243" s="125"/>
      <c r="I1243" s="125"/>
      <c r="J1243" s="127"/>
      <c r="K1243" s="124"/>
      <c r="L1243" s="128" t="s">
        <v>605</v>
      </c>
      <c r="M1243" s="125" t="s">
        <v>100</v>
      </c>
      <c r="N1243" s="123" t="s">
        <v>80</v>
      </c>
      <c r="O1243" s="123"/>
    </row>
    <row r="1244" spans="1:15" x14ac:dyDescent="0.25">
      <c r="A1244" s="143" t="s">
        <v>4567</v>
      </c>
      <c r="B1244" s="114">
        <v>7</v>
      </c>
      <c r="C1244" t="s">
        <v>4568</v>
      </c>
      <c r="D1244" s="91"/>
      <c r="G1244" s="91" t="s">
        <v>5934</v>
      </c>
      <c r="H1244" s="91" t="s">
        <v>2855</v>
      </c>
      <c r="L1244" s="13">
        <v>0</v>
      </c>
      <c r="M1244" t="s">
        <v>156</v>
      </c>
      <c r="N1244" t="s">
        <v>80</v>
      </c>
    </row>
    <row r="1245" spans="1:15" x14ac:dyDescent="0.25">
      <c r="A1245" s="143" t="s">
        <v>4567</v>
      </c>
      <c r="B1245" s="114">
        <v>8</v>
      </c>
      <c r="C1245" t="s">
        <v>4569</v>
      </c>
      <c r="D1245" s="91"/>
      <c r="G1245" s="91" t="s">
        <v>5935</v>
      </c>
      <c r="H1245" s="91" t="s">
        <v>2856</v>
      </c>
      <c r="L1245" s="13">
        <v>0</v>
      </c>
      <c r="M1245" t="s">
        <v>156</v>
      </c>
      <c r="N1245" t="s">
        <v>80</v>
      </c>
    </row>
    <row r="1246" spans="1:15" x14ac:dyDescent="0.25">
      <c r="A1246" s="143" t="s">
        <v>4567</v>
      </c>
      <c r="B1246" s="114">
        <v>11</v>
      </c>
      <c r="C1246" t="s">
        <v>4570</v>
      </c>
      <c r="D1246" s="91"/>
      <c r="G1246" s="91" t="s">
        <v>5936</v>
      </c>
      <c r="H1246" s="91" t="s">
        <v>5937</v>
      </c>
      <c r="L1246" s="13">
        <v>0</v>
      </c>
      <c r="M1246" t="s">
        <v>221</v>
      </c>
      <c r="N1246" t="s">
        <v>80</v>
      </c>
    </row>
    <row r="1247" spans="1:15" x14ac:dyDescent="0.25">
      <c r="A1247" s="143" t="s">
        <v>4567</v>
      </c>
      <c r="B1247" s="114">
        <v>12</v>
      </c>
      <c r="C1247" t="s">
        <v>4571</v>
      </c>
      <c r="D1247" s="91"/>
      <c r="G1247" s="91" t="s">
        <v>5938</v>
      </c>
      <c r="H1247" s="91" t="s">
        <v>5939</v>
      </c>
      <c r="L1247" s="13">
        <v>0</v>
      </c>
      <c r="M1247" t="s">
        <v>6386</v>
      </c>
      <c r="N1247" t="s">
        <v>80</v>
      </c>
    </row>
    <row r="1248" spans="1:15" x14ac:dyDescent="0.25">
      <c r="A1248" s="143" t="s">
        <v>4567</v>
      </c>
      <c r="B1248" s="114">
        <v>13</v>
      </c>
      <c r="C1248" t="s">
        <v>4572</v>
      </c>
      <c r="D1248" s="91"/>
      <c r="G1248" s="91" t="s">
        <v>5940</v>
      </c>
      <c r="H1248" s="91" t="s">
        <v>5941</v>
      </c>
      <c r="L1248" s="13">
        <v>0</v>
      </c>
      <c r="M1248" t="s">
        <v>3006</v>
      </c>
      <c r="N1248" t="s">
        <v>80</v>
      </c>
    </row>
    <row r="1249" spans="1:14" x14ac:dyDescent="0.25">
      <c r="A1249" s="143" t="s">
        <v>4567</v>
      </c>
      <c r="B1249" s="114">
        <v>21</v>
      </c>
      <c r="C1249" t="s">
        <v>4573</v>
      </c>
      <c r="D1249" s="91"/>
      <c r="G1249" s="91" t="s">
        <v>5942</v>
      </c>
      <c r="H1249" s="91" t="s">
        <v>5943</v>
      </c>
      <c r="L1249" s="13">
        <v>0</v>
      </c>
      <c r="M1249" t="s">
        <v>6337</v>
      </c>
      <c r="N1249" t="s">
        <v>80</v>
      </c>
    </row>
    <row r="1250" spans="1:14" x14ac:dyDescent="0.25">
      <c r="A1250" s="143" t="s">
        <v>4567</v>
      </c>
      <c r="B1250" s="114">
        <v>22</v>
      </c>
      <c r="C1250" t="s">
        <v>4574</v>
      </c>
      <c r="D1250" s="91"/>
      <c r="G1250" s="91" t="s">
        <v>5944</v>
      </c>
      <c r="H1250" s="91" t="s">
        <v>5945</v>
      </c>
      <c r="L1250" s="13">
        <v>0</v>
      </c>
      <c r="M1250" t="s">
        <v>6337</v>
      </c>
      <c r="N1250" t="s">
        <v>80</v>
      </c>
    </row>
    <row r="1251" spans="1:14" x14ac:dyDescent="0.25">
      <c r="A1251" s="143" t="s">
        <v>4567</v>
      </c>
      <c r="B1251" s="114">
        <v>24</v>
      </c>
      <c r="C1251" t="s">
        <v>4575</v>
      </c>
      <c r="D1251" s="91"/>
      <c r="G1251" s="91" t="s">
        <v>5946</v>
      </c>
      <c r="H1251" s="91" t="s">
        <v>5947</v>
      </c>
      <c r="L1251" s="13">
        <v>0</v>
      </c>
      <c r="M1251" t="s">
        <v>6337</v>
      </c>
      <c r="N1251" t="s">
        <v>80</v>
      </c>
    </row>
    <row r="1252" spans="1:14" x14ac:dyDescent="0.25">
      <c r="A1252" s="143" t="s">
        <v>4567</v>
      </c>
      <c r="B1252" s="114">
        <v>31</v>
      </c>
      <c r="C1252" t="s">
        <v>4598</v>
      </c>
      <c r="D1252" s="91"/>
      <c r="G1252" s="91" t="s">
        <v>5992</v>
      </c>
      <c r="H1252" s="91" t="s">
        <v>5993</v>
      </c>
      <c r="L1252" s="13">
        <v>0</v>
      </c>
      <c r="M1252" t="s">
        <v>235</v>
      </c>
      <c r="N1252" t="s">
        <v>80</v>
      </c>
    </row>
    <row r="1253" spans="1:14" x14ac:dyDescent="0.25">
      <c r="A1253" s="143" t="s">
        <v>4567</v>
      </c>
      <c r="B1253" s="114">
        <v>32</v>
      </c>
      <c r="C1253" t="s">
        <v>4577</v>
      </c>
      <c r="D1253" s="91"/>
      <c r="G1253" s="91" t="s">
        <v>5950</v>
      </c>
      <c r="H1253" s="91" t="s">
        <v>5951</v>
      </c>
      <c r="L1253" s="13">
        <v>0</v>
      </c>
      <c r="M1253" t="s">
        <v>3011</v>
      </c>
      <c r="N1253" t="s">
        <v>80</v>
      </c>
    </row>
    <row r="1254" spans="1:14" x14ac:dyDescent="0.25">
      <c r="A1254" s="143" t="s">
        <v>4567</v>
      </c>
      <c r="B1254" s="114">
        <v>32</v>
      </c>
      <c r="C1254" t="s">
        <v>4599</v>
      </c>
      <c r="D1254" s="91"/>
      <c r="G1254" s="91" t="s">
        <v>5994</v>
      </c>
      <c r="H1254" s="91" t="s">
        <v>5995</v>
      </c>
      <c r="L1254" s="13">
        <v>0</v>
      </c>
      <c r="M1254" t="s">
        <v>235</v>
      </c>
      <c r="N1254" t="s">
        <v>80</v>
      </c>
    </row>
    <row r="1255" spans="1:14" x14ac:dyDescent="0.25">
      <c r="A1255" s="143" t="s">
        <v>4567</v>
      </c>
      <c r="B1255" s="114">
        <v>33</v>
      </c>
      <c r="C1255" t="s">
        <v>4578</v>
      </c>
      <c r="D1255" s="91"/>
      <c r="G1255" s="91" t="s">
        <v>5952</v>
      </c>
      <c r="H1255" s="91" t="s">
        <v>5953</v>
      </c>
      <c r="L1255" s="13">
        <v>0</v>
      </c>
      <c r="M1255" t="s">
        <v>3011</v>
      </c>
      <c r="N1255" t="s">
        <v>80</v>
      </c>
    </row>
    <row r="1256" spans="1:14" x14ac:dyDescent="0.25">
      <c r="A1256" s="143" t="s">
        <v>4567</v>
      </c>
      <c r="B1256" s="114">
        <v>33</v>
      </c>
      <c r="C1256" t="s">
        <v>4600</v>
      </c>
      <c r="D1256" s="91"/>
      <c r="G1256" s="91" t="s">
        <v>5996</v>
      </c>
      <c r="H1256" s="91" t="s">
        <v>5997</v>
      </c>
      <c r="L1256" s="13">
        <v>0</v>
      </c>
      <c r="M1256" t="s">
        <v>235</v>
      </c>
      <c r="N1256" t="s">
        <v>80</v>
      </c>
    </row>
    <row r="1257" spans="1:14" x14ac:dyDescent="0.25">
      <c r="A1257" s="143" t="s">
        <v>4567</v>
      </c>
      <c r="B1257" s="114">
        <v>34</v>
      </c>
      <c r="C1257" t="s">
        <v>4601</v>
      </c>
      <c r="D1257" s="91"/>
      <c r="G1257" s="91" t="s">
        <v>5998</v>
      </c>
      <c r="H1257" s="91" t="s">
        <v>5999</v>
      </c>
      <c r="L1257" s="13">
        <v>0</v>
      </c>
      <c r="M1257" t="s">
        <v>235</v>
      </c>
      <c r="N1257" t="s">
        <v>80</v>
      </c>
    </row>
    <row r="1258" spans="1:14" x14ac:dyDescent="0.25">
      <c r="A1258" s="143" t="s">
        <v>4567</v>
      </c>
      <c r="B1258" s="114">
        <v>34</v>
      </c>
      <c r="C1258" t="s">
        <v>4579</v>
      </c>
      <c r="D1258" s="91"/>
      <c r="G1258" s="91" t="s">
        <v>5954</v>
      </c>
      <c r="H1258" s="91" t="s">
        <v>5955</v>
      </c>
      <c r="L1258" s="13">
        <v>0</v>
      </c>
      <c r="M1258" t="s">
        <v>3011</v>
      </c>
      <c r="N1258" t="s">
        <v>80</v>
      </c>
    </row>
    <row r="1259" spans="1:14" x14ac:dyDescent="0.25">
      <c r="A1259" s="143" t="s">
        <v>4567</v>
      </c>
      <c r="B1259" s="114">
        <v>35</v>
      </c>
      <c r="C1259" t="s">
        <v>4602</v>
      </c>
      <c r="D1259" s="91"/>
      <c r="G1259" s="91" t="s">
        <v>6000</v>
      </c>
      <c r="H1259" s="91" t="s">
        <v>6001</v>
      </c>
      <c r="L1259" s="13">
        <v>0</v>
      </c>
      <c r="M1259" t="s">
        <v>235</v>
      </c>
      <c r="N1259" t="s">
        <v>80</v>
      </c>
    </row>
    <row r="1260" spans="1:14" x14ac:dyDescent="0.25">
      <c r="A1260" s="143" t="s">
        <v>4567</v>
      </c>
      <c r="B1260" s="114">
        <v>36</v>
      </c>
      <c r="C1260" t="s">
        <v>4603</v>
      </c>
      <c r="D1260" s="91"/>
      <c r="G1260" s="91" t="s">
        <v>6002</v>
      </c>
      <c r="H1260" s="91" t="s">
        <v>6003</v>
      </c>
      <c r="L1260" s="13">
        <v>0</v>
      </c>
      <c r="M1260" t="s">
        <v>235</v>
      </c>
      <c r="N1260" t="s">
        <v>80</v>
      </c>
    </row>
    <row r="1261" spans="1:14" x14ac:dyDescent="0.25">
      <c r="A1261" s="143" t="s">
        <v>4567</v>
      </c>
      <c r="B1261" s="114">
        <v>37</v>
      </c>
      <c r="C1261" t="s">
        <v>4604</v>
      </c>
      <c r="D1261" s="91"/>
      <c r="G1261" s="91" t="s">
        <v>6004</v>
      </c>
      <c r="H1261" s="91" t="s">
        <v>6005</v>
      </c>
      <c r="L1261" s="13">
        <v>0</v>
      </c>
      <c r="M1261" t="s">
        <v>235</v>
      </c>
      <c r="N1261" t="s">
        <v>80</v>
      </c>
    </row>
    <row r="1262" spans="1:14" x14ac:dyDescent="0.25">
      <c r="A1262" s="143" t="s">
        <v>4567</v>
      </c>
      <c r="B1262" s="114">
        <v>38</v>
      </c>
      <c r="C1262" t="s">
        <v>4605</v>
      </c>
      <c r="D1262" s="91"/>
      <c r="G1262" s="91" t="s">
        <v>6006</v>
      </c>
      <c r="H1262" s="91" t="s">
        <v>6007</v>
      </c>
      <c r="L1262" s="13">
        <v>0</v>
      </c>
      <c r="M1262" t="s">
        <v>235</v>
      </c>
      <c r="N1262" t="s">
        <v>80</v>
      </c>
    </row>
    <row r="1263" spans="1:14" x14ac:dyDescent="0.25">
      <c r="A1263" s="143" t="s">
        <v>4567</v>
      </c>
      <c r="B1263" s="114">
        <v>39</v>
      </c>
      <c r="C1263" t="s">
        <v>4606</v>
      </c>
      <c r="D1263" s="91"/>
      <c r="G1263" s="91" t="s">
        <v>6008</v>
      </c>
      <c r="H1263" s="91" t="s">
        <v>6009</v>
      </c>
      <c r="L1263" s="13">
        <v>0</v>
      </c>
      <c r="M1263" t="s">
        <v>235</v>
      </c>
      <c r="N1263" t="s">
        <v>80</v>
      </c>
    </row>
    <row r="1264" spans="1:14" x14ac:dyDescent="0.25">
      <c r="A1264" s="143" t="s">
        <v>4567</v>
      </c>
      <c r="B1264" s="114">
        <v>40</v>
      </c>
      <c r="C1264" t="s">
        <v>4607</v>
      </c>
      <c r="D1264" s="91"/>
      <c r="G1264" s="91" t="s">
        <v>6010</v>
      </c>
      <c r="H1264" s="91" t="s">
        <v>6011</v>
      </c>
      <c r="L1264" s="13">
        <v>0</v>
      </c>
      <c r="M1264" t="s">
        <v>235</v>
      </c>
      <c r="N1264" t="s">
        <v>80</v>
      </c>
    </row>
    <row r="1265" spans="1:14" x14ac:dyDescent="0.25">
      <c r="A1265" s="143" t="s">
        <v>4567</v>
      </c>
      <c r="B1265" s="114">
        <v>51</v>
      </c>
      <c r="C1265" t="s">
        <v>4580</v>
      </c>
      <c r="D1265" s="91"/>
      <c r="G1265" s="91" t="s">
        <v>5956</v>
      </c>
      <c r="H1265" s="91" t="s">
        <v>5957</v>
      </c>
      <c r="L1265" s="13">
        <v>0</v>
      </c>
      <c r="M1265" t="s">
        <v>6337</v>
      </c>
      <c r="N1265" t="s">
        <v>80</v>
      </c>
    </row>
    <row r="1266" spans="1:14" x14ac:dyDescent="0.25">
      <c r="A1266" s="143" t="s">
        <v>4567</v>
      </c>
      <c r="B1266" s="114">
        <v>52</v>
      </c>
      <c r="C1266" t="s">
        <v>4581</v>
      </c>
      <c r="D1266" s="91"/>
      <c r="G1266" s="91" t="s">
        <v>5958</v>
      </c>
      <c r="H1266" s="91" t="s">
        <v>5959</v>
      </c>
      <c r="L1266" s="13">
        <v>0</v>
      </c>
      <c r="M1266" t="s">
        <v>6337</v>
      </c>
      <c r="N1266" t="s">
        <v>80</v>
      </c>
    </row>
    <row r="1267" spans="1:14" x14ac:dyDescent="0.25">
      <c r="A1267" s="143" t="s">
        <v>4567</v>
      </c>
      <c r="B1267" s="114">
        <v>53</v>
      </c>
      <c r="C1267" t="s">
        <v>4582</v>
      </c>
      <c r="D1267" s="91"/>
      <c r="G1267" s="91" t="s">
        <v>5960</v>
      </c>
      <c r="H1267" s="91" t="s">
        <v>5961</v>
      </c>
      <c r="L1267" s="13">
        <v>0</v>
      </c>
      <c r="M1267" t="s">
        <v>6337</v>
      </c>
      <c r="N1267" t="s">
        <v>80</v>
      </c>
    </row>
    <row r="1268" spans="1:14" x14ac:dyDescent="0.25">
      <c r="A1268" s="143" t="s">
        <v>4567</v>
      </c>
      <c r="B1268" s="114">
        <v>54</v>
      </c>
      <c r="C1268" t="s">
        <v>4583</v>
      </c>
      <c r="D1268" s="91"/>
      <c r="G1268" s="91" t="s">
        <v>5962</v>
      </c>
      <c r="H1268" s="91" t="s">
        <v>5963</v>
      </c>
      <c r="L1268" s="13">
        <v>0</v>
      </c>
      <c r="M1268" t="s">
        <v>6337</v>
      </c>
      <c r="N1268" t="s">
        <v>80</v>
      </c>
    </row>
    <row r="1269" spans="1:14" x14ac:dyDescent="0.25">
      <c r="A1269" s="143" t="s">
        <v>4567</v>
      </c>
      <c r="B1269" s="114">
        <v>55</v>
      </c>
      <c r="C1269" t="s">
        <v>4584</v>
      </c>
      <c r="D1269" s="91"/>
      <c r="G1269" s="91" t="s">
        <v>5964</v>
      </c>
      <c r="H1269" s="91" t="s">
        <v>5965</v>
      </c>
      <c r="L1269" s="13">
        <v>0</v>
      </c>
      <c r="M1269" t="s">
        <v>6337</v>
      </c>
      <c r="N1269" t="s">
        <v>80</v>
      </c>
    </row>
    <row r="1270" spans="1:14" x14ac:dyDescent="0.25">
      <c r="A1270" s="143" t="s">
        <v>4567</v>
      </c>
      <c r="B1270" s="114">
        <v>62</v>
      </c>
      <c r="C1270" t="s">
        <v>4585</v>
      </c>
      <c r="D1270" s="91"/>
      <c r="G1270" s="91" t="s">
        <v>5966</v>
      </c>
      <c r="H1270" s="91" t="s">
        <v>5967</v>
      </c>
      <c r="L1270" s="13">
        <v>0</v>
      </c>
      <c r="M1270" t="s">
        <v>6337</v>
      </c>
      <c r="N1270" t="s">
        <v>80</v>
      </c>
    </row>
    <row r="1271" spans="1:14" x14ac:dyDescent="0.25">
      <c r="A1271" s="143" t="s">
        <v>4567</v>
      </c>
      <c r="B1271" s="114">
        <v>62</v>
      </c>
      <c r="C1271" t="s">
        <v>4586</v>
      </c>
      <c r="D1271" s="91"/>
      <c r="G1271" s="91" t="s">
        <v>5968</v>
      </c>
      <c r="H1271" s="91" t="s">
        <v>5969</v>
      </c>
      <c r="L1271" s="13">
        <v>0</v>
      </c>
      <c r="M1271" t="s">
        <v>6337</v>
      </c>
      <c r="N1271" t="s">
        <v>80</v>
      </c>
    </row>
    <row r="1272" spans="1:14" x14ac:dyDescent="0.25">
      <c r="A1272" s="143" t="s">
        <v>4567</v>
      </c>
      <c r="B1272" s="114">
        <v>63</v>
      </c>
      <c r="C1272" t="s">
        <v>4587</v>
      </c>
      <c r="D1272" s="91"/>
      <c r="G1272" s="91" t="s">
        <v>5970</v>
      </c>
      <c r="H1272" s="91" t="s">
        <v>5971</v>
      </c>
      <c r="L1272" s="13">
        <v>0</v>
      </c>
      <c r="M1272" t="s">
        <v>6337</v>
      </c>
      <c r="N1272" t="s">
        <v>80</v>
      </c>
    </row>
    <row r="1273" spans="1:14" x14ac:dyDescent="0.25">
      <c r="A1273" s="143" t="s">
        <v>4567</v>
      </c>
      <c r="B1273" s="114">
        <v>64</v>
      </c>
      <c r="C1273" t="s">
        <v>4588</v>
      </c>
      <c r="D1273" s="91"/>
      <c r="G1273" s="91" t="s">
        <v>5972</v>
      </c>
      <c r="H1273" s="91" t="s">
        <v>5973</v>
      </c>
      <c r="L1273" s="13">
        <v>0</v>
      </c>
      <c r="M1273" t="s">
        <v>6337</v>
      </c>
      <c r="N1273" t="s">
        <v>80</v>
      </c>
    </row>
    <row r="1274" spans="1:14" x14ac:dyDescent="0.25">
      <c r="A1274" s="143" t="s">
        <v>4567</v>
      </c>
      <c r="B1274" s="114">
        <v>71</v>
      </c>
      <c r="C1274" t="s">
        <v>4589</v>
      </c>
      <c r="D1274" s="91"/>
      <c r="G1274" s="91" t="s">
        <v>5974</v>
      </c>
      <c r="H1274" s="91" t="s">
        <v>5975</v>
      </c>
      <c r="L1274" s="13">
        <v>0</v>
      </c>
      <c r="M1274" t="s">
        <v>6337</v>
      </c>
      <c r="N1274" t="s">
        <v>80</v>
      </c>
    </row>
    <row r="1275" spans="1:14" x14ac:dyDescent="0.25">
      <c r="A1275" s="143" t="s">
        <v>4567</v>
      </c>
      <c r="B1275" s="114">
        <v>101</v>
      </c>
      <c r="C1275" t="s">
        <v>4590</v>
      </c>
      <c r="D1275" s="91"/>
      <c r="G1275" s="91" t="s">
        <v>5976</v>
      </c>
      <c r="H1275" s="91" t="s">
        <v>5977</v>
      </c>
      <c r="L1275" s="13">
        <v>0</v>
      </c>
      <c r="M1275" t="s">
        <v>6337</v>
      </c>
      <c r="N1275" t="s">
        <v>80</v>
      </c>
    </row>
    <row r="1276" spans="1:14" x14ac:dyDescent="0.25">
      <c r="A1276" s="143" t="s">
        <v>4567</v>
      </c>
      <c r="B1276" s="114">
        <v>102</v>
      </c>
      <c r="C1276" t="s">
        <v>4591</v>
      </c>
      <c r="D1276" s="91"/>
      <c r="G1276" s="91" t="s">
        <v>5978</v>
      </c>
      <c r="H1276" s="91" t="s">
        <v>5979</v>
      </c>
      <c r="L1276" s="13">
        <v>0</v>
      </c>
      <c r="M1276" t="s">
        <v>6337</v>
      </c>
      <c r="N1276" t="s">
        <v>80</v>
      </c>
    </row>
    <row r="1277" spans="1:14" x14ac:dyDescent="0.25">
      <c r="A1277" s="143" t="s">
        <v>4567</v>
      </c>
      <c r="B1277" s="114">
        <v>103</v>
      </c>
      <c r="C1277" t="s">
        <v>4592</v>
      </c>
      <c r="D1277" s="91"/>
      <c r="G1277" s="91" t="s">
        <v>5980</v>
      </c>
      <c r="H1277" s="91" t="s">
        <v>5981</v>
      </c>
      <c r="L1277" s="13">
        <v>0</v>
      </c>
      <c r="M1277" t="s">
        <v>6337</v>
      </c>
      <c r="N1277" t="s">
        <v>80</v>
      </c>
    </row>
    <row r="1278" spans="1:14" x14ac:dyDescent="0.25">
      <c r="A1278" s="143" t="s">
        <v>4567</v>
      </c>
      <c r="B1278" s="114">
        <v>104</v>
      </c>
      <c r="C1278" t="s">
        <v>4593</v>
      </c>
      <c r="D1278" s="91"/>
      <c r="G1278" s="91" t="s">
        <v>5982</v>
      </c>
      <c r="H1278" s="91" t="s">
        <v>5983</v>
      </c>
      <c r="L1278" s="13">
        <v>0</v>
      </c>
      <c r="M1278" t="s">
        <v>6337</v>
      </c>
      <c r="N1278" t="s">
        <v>80</v>
      </c>
    </row>
    <row r="1279" spans="1:14" x14ac:dyDescent="0.25">
      <c r="A1279" s="143" t="s">
        <v>4567</v>
      </c>
      <c r="B1279" s="114">
        <v>105</v>
      </c>
      <c r="C1279" t="s">
        <v>4594</v>
      </c>
      <c r="D1279" s="91"/>
      <c r="G1279" s="91" t="s">
        <v>5984</v>
      </c>
      <c r="H1279" s="91" t="s">
        <v>5985</v>
      </c>
      <c r="L1279" s="13">
        <v>0</v>
      </c>
      <c r="M1279" t="s">
        <v>6337</v>
      </c>
      <c r="N1279" t="s">
        <v>80</v>
      </c>
    </row>
    <row r="1280" spans="1:14" x14ac:dyDescent="0.25">
      <c r="A1280" s="143" t="s">
        <v>4567</v>
      </c>
      <c r="B1280" s="114">
        <v>106</v>
      </c>
      <c r="C1280" t="s">
        <v>4595</v>
      </c>
      <c r="D1280" s="91"/>
      <c r="G1280" s="91" t="s">
        <v>5986</v>
      </c>
      <c r="H1280" s="91" t="s">
        <v>5987</v>
      </c>
      <c r="L1280" s="13">
        <v>0</v>
      </c>
      <c r="M1280" t="s">
        <v>6337</v>
      </c>
      <c r="N1280" t="s">
        <v>80</v>
      </c>
    </row>
    <row r="1281" spans="1:14" x14ac:dyDescent="0.25">
      <c r="A1281" s="143" t="s">
        <v>4567</v>
      </c>
      <c r="B1281" s="114">
        <v>107</v>
      </c>
      <c r="C1281" t="s">
        <v>4596</v>
      </c>
      <c r="D1281" s="91"/>
      <c r="G1281" s="91" t="s">
        <v>5988</v>
      </c>
      <c r="H1281" s="91" t="s">
        <v>5989</v>
      </c>
      <c r="L1281" s="13">
        <v>0</v>
      </c>
      <c r="M1281" t="s">
        <v>6337</v>
      </c>
      <c r="N1281" t="s">
        <v>80</v>
      </c>
    </row>
    <row r="1282" spans="1:14" x14ac:dyDescent="0.25">
      <c r="A1282" s="143" t="s">
        <v>4567</v>
      </c>
      <c r="B1282" s="114">
        <v>108</v>
      </c>
      <c r="C1282" t="s">
        <v>4597</v>
      </c>
      <c r="D1282" s="91"/>
      <c r="G1282" s="91" t="s">
        <v>5990</v>
      </c>
      <c r="H1282" s="91" t="s">
        <v>5991</v>
      </c>
      <c r="L1282" s="13">
        <v>0</v>
      </c>
      <c r="M1282" t="s">
        <v>6337</v>
      </c>
      <c r="N1282" t="s">
        <v>80</v>
      </c>
    </row>
    <row r="1283" spans="1:14" x14ac:dyDescent="0.25">
      <c r="A1283" s="143" t="s">
        <v>4567</v>
      </c>
      <c r="B1283" s="114"/>
      <c r="C1283" t="s">
        <v>4634</v>
      </c>
      <c r="D1283" s="91"/>
      <c r="G1283" s="91" t="s">
        <v>6064</v>
      </c>
      <c r="H1283" s="91" t="s">
        <v>6065</v>
      </c>
      <c r="L1283" s="13">
        <v>0</v>
      </c>
      <c r="M1283" t="s">
        <v>262</v>
      </c>
      <c r="N1283" t="s">
        <v>80</v>
      </c>
    </row>
    <row r="1284" spans="1:14" x14ac:dyDescent="0.25">
      <c r="A1284" s="143" t="s">
        <v>4567</v>
      </c>
      <c r="B1284" s="114"/>
      <c r="C1284" t="s">
        <v>4632</v>
      </c>
      <c r="D1284" s="91"/>
      <c r="G1284" s="91" t="s">
        <v>6060</v>
      </c>
      <c r="H1284" s="91" t="s">
        <v>6061</v>
      </c>
      <c r="L1284" s="13">
        <v>0</v>
      </c>
      <c r="M1284" t="s">
        <v>262</v>
      </c>
      <c r="N1284" t="s">
        <v>80</v>
      </c>
    </row>
    <row r="1285" spans="1:14" x14ac:dyDescent="0.25">
      <c r="A1285" s="143" t="s">
        <v>4567</v>
      </c>
      <c r="B1285" s="114"/>
      <c r="C1285" t="s">
        <v>4633</v>
      </c>
      <c r="D1285" s="91"/>
      <c r="G1285" s="91" t="s">
        <v>6062</v>
      </c>
      <c r="H1285" s="91" t="s">
        <v>6063</v>
      </c>
      <c r="L1285" s="13">
        <v>0</v>
      </c>
      <c r="M1285" t="s">
        <v>262</v>
      </c>
      <c r="N1285" t="s">
        <v>80</v>
      </c>
    </row>
    <row r="1286" spans="1:14" x14ac:dyDescent="0.25">
      <c r="A1286" s="143" t="s">
        <v>4567</v>
      </c>
      <c r="B1286" s="114"/>
      <c r="C1286" t="s">
        <v>4576</v>
      </c>
      <c r="D1286" s="91"/>
      <c r="G1286" s="91" t="s">
        <v>5948</v>
      </c>
      <c r="H1286" s="91" t="s">
        <v>5949</v>
      </c>
      <c r="L1286" s="13">
        <v>0</v>
      </c>
      <c r="M1286" t="s">
        <v>6337</v>
      </c>
      <c r="N1286" t="s">
        <v>80</v>
      </c>
    </row>
    <row r="1287" spans="1:14" x14ac:dyDescent="0.25">
      <c r="A1287" s="143" t="s">
        <v>4567</v>
      </c>
      <c r="B1287" s="114"/>
      <c r="C1287" t="s">
        <v>4690</v>
      </c>
      <c r="D1287" s="91"/>
      <c r="G1287" s="91" t="s">
        <v>6176</v>
      </c>
      <c r="H1287" s="91" t="s">
        <v>6177</v>
      </c>
      <c r="L1287" s="13">
        <v>0</v>
      </c>
      <c r="M1287" t="s">
        <v>262</v>
      </c>
      <c r="N1287" t="s">
        <v>80</v>
      </c>
    </row>
    <row r="1288" spans="1:14" x14ac:dyDescent="0.25">
      <c r="A1288" s="143" t="s">
        <v>4567</v>
      </c>
      <c r="B1288" s="114"/>
      <c r="C1288" t="s">
        <v>4691</v>
      </c>
      <c r="D1288" s="91"/>
      <c r="G1288" s="91" t="s">
        <v>6178</v>
      </c>
      <c r="H1288" s="91" t="s">
        <v>6179</v>
      </c>
      <c r="L1288" s="13">
        <v>0</v>
      </c>
      <c r="M1288" t="s">
        <v>262</v>
      </c>
      <c r="N1288" t="s">
        <v>80</v>
      </c>
    </row>
    <row r="1289" spans="1:14" x14ac:dyDescent="0.25">
      <c r="A1289" s="143" t="s">
        <v>4567</v>
      </c>
      <c r="B1289" s="114"/>
      <c r="C1289" t="s">
        <v>4688</v>
      </c>
      <c r="D1289" s="91"/>
      <c r="G1289" s="91" t="s">
        <v>6172</v>
      </c>
      <c r="H1289" s="91" t="s">
        <v>6173</v>
      </c>
      <c r="L1289" s="13">
        <v>0</v>
      </c>
      <c r="M1289" t="s">
        <v>262</v>
      </c>
      <c r="N1289" t="s">
        <v>80</v>
      </c>
    </row>
    <row r="1290" spans="1:14" x14ac:dyDescent="0.25">
      <c r="A1290" s="143" t="s">
        <v>4567</v>
      </c>
      <c r="B1290" s="114"/>
      <c r="C1290" t="s">
        <v>4657</v>
      </c>
      <c r="D1290" s="91"/>
      <c r="G1290" s="91" t="s">
        <v>6110</v>
      </c>
      <c r="H1290" s="91" t="s">
        <v>6111</v>
      </c>
      <c r="L1290" s="13">
        <v>0</v>
      </c>
      <c r="M1290" t="s">
        <v>262</v>
      </c>
      <c r="N1290" t="s">
        <v>80</v>
      </c>
    </row>
    <row r="1291" spans="1:14" x14ac:dyDescent="0.25">
      <c r="A1291" s="143" t="s">
        <v>4567</v>
      </c>
      <c r="B1291" s="114"/>
      <c r="C1291" t="s">
        <v>4689</v>
      </c>
      <c r="D1291" s="91"/>
      <c r="G1291" s="91" t="s">
        <v>6174</v>
      </c>
      <c r="H1291" s="91" t="s">
        <v>6175</v>
      </c>
      <c r="L1291" s="13">
        <v>0</v>
      </c>
      <c r="M1291" t="s">
        <v>262</v>
      </c>
      <c r="N1291" t="s">
        <v>80</v>
      </c>
    </row>
    <row r="1292" spans="1:14" x14ac:dyDescent="0.25">
      <c r="A1292" s="143" t="s">
        <v>4567</v>
      </c>
      <c r="B1292" s="114"/>
      <c r="C1292" t="s">
        <v>4658</v>
      </c>
      <c r="D1292" s="91"/>
      <c r="G1292" s="91" t="s">
        <v>6112</v>
      </c>
      <c r="H1292" s="91" t="s">
        <v>6113</v>
      </c>
      <c r="L1292" s="13">
        <v>0</v>
      </c>
      <c r="M1292" t="s">
        <v>262</v>
      </c>
      <c r="N1292" t="s">
        <v>80</v>
      </c>
    </row>
    <row r="1293" spans="1:14" x14ac:dyDescent="0.25">
      <c r="A1293" s="143" t="s">
        <v>4567</v>
      </c>
      <c r="B1293" s="114"/>
      <c r="C1293" t="s">
        <v>4692</v>
      </c>
      <c r="D1293" s="91"/>
      <c r="G1293" s="91" t="s">
        <v>6180</v>
      </c>
      <c r="H1293" s="91" t="s">
        <v>6181</v>
      </c>
      <c r="L1293" s="13">
        <v>0</v>
      </c>
      <c r="M1293" t="s">
        <v>262</v>
      </c>
      <c r="N1293" t="s">
        <v>80</v>
      </c>
    </row>
    <row r="1294" spans="1:14" x14ac:dyDescent="0.25">
      <c r="A1294" s="143" t="s">
        <v>4567</v>
      </c>
      <c r="B1294" s="114"/>
      <c r="C1294" t="s">
        <v>4693</v>
      </c>
      <c r="G1294" s="91" t="s">
        <v>6182</v>
      </c>
      <c r="H1294" s="91" t="s">
        <v>6183</v>
      </c>
      <c r="L1294" s="13">
        <v>0</v>
      </c>
      <c r="M1294" t="s">
        <v>262</v>
      </c>
      <c r="N1294" t="s">
        <v>80</v>
      </c>
    </row>
    <row r="1295" spans="1:14" x14ac:dyDescent="0.25">
      <c r="A1295" s="143" t="s">
        <v>4567</v>
      </c>
      <c r="B1295" s="114"/>
      <c r="C1295" t="s">
        <v>4609</v>
      </c>
      <c r="D1295" s="91"/>
      <c r="G1295" s="91" t="s">
        <v>6014</v>
      </c>
      <c r="H1295" s="91" t="s">
        <v>6015</v>
      </c>
      <c r="L1295" s="13">
        <v>0</v>
      </c>
      <c r="M1295" t="s">
        <v>262</v>
      </c>
      <c r="N1295" t="s">
        <v>80</v>
      </c>
    </row>
    <row r="1296" spans="1:14" x14ac:dyDescent="0.25">
      <c r="A1296" s="143" t="s">
        <v>4567</v>
      </c>
      <c r="B1296" s="114"/>
      <c r="C1296" t="s">
        <v>4659</v>
      </c>
      <c r="D1296" s="91"/>
      <c r="G1296" s="91" t="s">
        <v>6114</v>
      </c>
      <c r="H1296" s="91" t="s">
        <v>6115</v>
      </c>
      <c r="L1296" s="13">
        <v>0</v>
      </c>
      <c r="M1296" t="s">
        <v>262</v>
      </c>
      <c r="N1296" t="s">
        <v>80</v>
      </c>
    </row>
    <row r="1297" spans="1:14" x14ac:dyDescent="0.25">
      <c r="A1297" s="143" t="s">
        <v>4567</v>
      </c>
      <c r="B1297" s="114"/>
      <c r="C1297" t="s">
        <v>4610</v>
      </c>
      <c r="G1297" s="91" t="s">
        <v>6016</v>
      </c>
      <c r="H1297" s="91" t="s">
        <v>6017</v>
      </c>
      <c r="L1297" s="13">
        <v>0</v>
      </c>
      <c r="M1297" t="s">
        <v>262</v>
      </c>
      <c r="N1297" t="s">
        <v>80</v>
      </c>
    </row>
    <row r="1298" spans="1:14" x14ac:dyDescent="0.25">
      <c r="A1298" s="143" t="s">
        <v>4567</v>
      </c>
      <c r="B1298" s="114"/>
      <c r="C1298" t="s">
        <v>4660</v>
      </c>
      <c r="G1298" s="91" t="s">
        <v>6116</v>
      </c>
      <c r="H1298" s="91" t="s">
        <v>6117</v>
      </c>
      <c r="L1298" s="13">
        <v>0</v>
      </c>
      <c r="M1298" t="s">
        <v>262</v>
      </c>
      <c r="N1298" t="s">
        <v>80</v>
      </c>
    </row>
    <row r="1299" spans="1:14" x14ac:dyDescent="0.25">
      <c r="A1299" s="143" t="s">
        <v>4567</v>
      </c>
      <c r="B1299" s="114"/>
      <c r="C1299" t="s">
        <v>4694</v>
      </c>
      <c r="D1299" s="91"/>
      <c r="G1299" s="91" t="s">
        <v>6184</v>
      </c>
      <c r="H1299" s="91" t="s">
        <v>6185</v>
      </c>
      <c r="L1299" s="13">
        <v>0</v>
      </c>
      <c r="M1299" t="s">
        <v>262</v>
      </c>
      <c r="N1299" t="s">
        <v>80</v>
      </c>
    </row>
    <row r="1300" spans="1:14" x14ac:dyDescent="0.25">
      <c r="A1300" s="143" t="s">
        <v>4567</v>
      </c>
      <c r="B1300" s="114"/>
      <c r="C1300" t="s">
        <v>4695</v>
      </c>
      <c r="G1300" s="91" t="s">
        <v>6186</v>
      </c>
      <c r="H1300" s="91" t="s">
        <v>6187</v>
      </c>
      <c r="L1300" s="13">
        <v>0</v>
      </c>
      <c r="M1300" t="s">
        <v>262</v>
      </c>
      <c r="N1300" t="s">
        <v>80</v>
      </c>
    </row>
    <row r="1301" spans="1:14" x14ac:dyDescent="0.25">
      <c r="A1301" s="143" t="s">
        <v>4567</v>
      </c>
      <c r="B1301" s="114"/>
      <c r="C1301" t="s">
        <v>4676</v>
      </c>
      <c r="D1301" s="91"/>
      <c r="G1301" s="91" t="s">
        <v>6148</v>
      </c>
      <c r="H1301" s="91" t="s">
        <v>6149</v>
      </c>
      <c r="L1301" s="13">
        <v>0</v>
      </c>
      <c r="M1301" t="s">
        <v>262</v>
      </c>
      <c r="N1301" t="s">
        <v>80</v>
      </c>
    </row>
    <row r="1302" spans="1:14" x14ac:dyDescent="0.25">
      <c r="A1302" s="143" t="s">
        <v>4567</v>
      </c>
      <c r="B1302" s="114"/>
      <c r="C1302" t="s">
        <v>4677</v>
      </c>
      <c r="D1302" s="91"/>
      <c r="G1302" s="91" t="s">
        <v>6150</v>
      </c>
      <c r="H1302" s="91" t="s">
        <v>6151</v>
      </c>
      <c r="L1302" s="13">
        <v>0</v>
      </c>
      <c r="M1302" t="s">
        <v>262</v>
      </c>
      <c r="N1302" t="s">
        <v>80</v>
      </c>
    </row>
    <row r="1303" spans="1:14" x14ac:dyDescent="0.25">
      <c r="A1303" s="143" t="s">
        <v>4567</v>
      </c>
      <c r="B1303" s="114"/>
      <c r="C1303" t="s">
        <v>4612</v>
      </c>
      <c r="D1303" s="91"/>
      <c r="G1303" s="91" t="s">
        <v>6020</v>
      </c>
      <c r="H1303" s="91" t="s">
        <v>6021</v>
      </c>
      <c r="L1303" s="13">
        <v>0</v>
      </c>
      <c r="M1303" t="s">
        <v>262</v>
      </c>
      <c r="N1303" t="s">
        <v>80</v>
      </c>
    </row>
    <row r="1304" spans="1:14" x14ac:dyDescent="0.25">
      <c r="A1304" s="143" t="s">
        <v>4567</v>
      </c>
      <c r="B1304" s="114"/>
      <c r="C1304" t="s">
        <v>4615</v>
      </c>
      <c r="D1304" s="91"/>
      <c r="G1304" s="91" t="s">
        <v>6026</v>
      </c>
      <c r="H1304" s="91" t="s">
        <v>6027</v>
      </c>
      <c r="L1304" s="13">
        <v>0</v>
      </c>
      <c r="M1304" t="s">
        <v>262</v>
      </c>
      <c r="N1304" t="s">
        <v>80</v>
      </c>
    </row>
    <row r="1305" spans="1:14" x14ac:dyDescent="0.25">
      <c r="A1305" s="143" t="s">
        <v>4567</v>
      </c>
      <c r="B1305" s="114"/>
      <c r="C1305" t="s">
        <v>4611</v>
      </c>
      <c r="D1305" s="91"/>
      <c r="G1305" s="91" t="s">
        <v>6018</v>
      </c>
      <c r="H1305" s="91" t="s">
        <v>6019</v>
      </c>
      <c r="L1305" s="13">
        <v>0</v>
      </c>
      <c r="M1305" t="s">
        <v>262</v>
      </c>
      <c r="N1305" t="s">
        <v>80</v>
      </c>
    </row>
    <row r="1306" spans="1:14" x14ac:dyDescent="0.25">
      <c r="A1306" s="143" t="s">
        <v>4567</v>
      </c>
      <c r="B1306" s="114"/>
      <c r="C1306" t="s">
        <v>4618</v>
      </c>
      <c r="D1306" s="91"/>
      <c r="G1306" s="91" t="s">
        <v>6032</v>
      </c>
      <c r="H1306" s="91" t="s">
        <v>6033</v>
      </c>
      <c r="L1306" s="13">
        <v>0</v>
      </c>
      <c r="M1306" t="s">
        <v>262</v>
      </c>
      <c r="N1306" t="s">
        <v>80</v>
      </c>
    </row>
    <row r="1307" spans="1:14" x14ac:dyDescent="0.25">
      <c r="A1307" s="143" t="s">
        <v>4567</v>
      </c>
      <c r="B1307" s="114"/>
      <c r="C1307" t="s">
        <v>4619</v>
      </c>
      <c r="D1307" s="91"/>
      <c r="G1307" s="91" t="s">
        <v>6034</v>
      </c>
      <c r="H1307" s="91" t="s">
        <v>6035</v>
      </c>
      <c r="L1307" s="13">
        <v>0</v>
      </c>
      <c r="M1307" t="s">
        <v>262</v>
      </c>
      <c r="N1307" t="s">
        <v>80</v>
      </c>
    </row>
    <row r="1308" spans="1:14" x14ac:dyDescent="0.25">
      <c r="A1308" s="143" t="s">
        <v>4567</v>
      </c>
      <c r="B1308" s="114"/>
      <c r="C1308" t="s">
        <v>4622</v>
      </c>
      <c r="D1308" s="91"/>
      <c r="G1308" s="91" t="s">
        <v>6040</v>
      </c>
      <c r="H1308" s="91" t="s">
        <v>6041</v>
      </c>
      <c r="L1308" s="13">
        <v>0</v>
      </c>
      <c r="M1308" t="s">
        <v>262</v>
      </c>
      <c r="N1308" t="s">
        <v>80</v>
      </c>
    </row>
    <row r="1309" spans="1:14" x14ac:dyDescent="0.25">
      <c r="A1309" s="143" t="s">
        <v>4567</v>
      </c>
      <c r="B1309" s="114"/>
      <c r="C1309" t="s">
        <v>4623</v>
      </c>
      <c r="D1309" s="91"/>
      <c r="G1309" s="91" t="s">
        <v>6042</v>
      </c>
      <c r="H1309" s="91" t="s">
        <v>6043</v>
      </c>
      <c r="L1309" s="13">
        <v>0</v>
      </c>
      <c r="M1309" t="s">
        <v>262</v>
      </c>
      <c r="N1309" t="s">
        <v>80</v>
      </c>
    </row>
    <row r="1310" spans="1:14" x14ac:dyDescent="0.25">
      <c r="A1310" s="143" t="s">
        <v>4567</v>
      </c>
      <c r="B1310" s="114"/>
      <c r="C1310" t="s">
        <v>4625</v>
      </c>
      <c r="D1310" s="91"/>
      <c r="G1310" s="91" t="s">
        <v>6046</v>
      </c>
      <c r="H1310" s="91" t="s">
        <v>6047</v>
      </c>
      <c r="L1310" s="13">
        <v>0</v>
      </c>
      <c r="M1310" t="s">
        <v>262</v>
      </c>
      <c r="N1310" t="s">
        <v>80</v>
      </c>
    </row>
    <row r="1311" spans="1:14" x14ac:dyDescent="0.25">
      <c r="A1311" s="143" t="s">
        <v>4567</v>
      </c>
      <c r="B1311" s="114"/>
      <c r="C1311" t="s">
        <v>4616</v>
      </c>
      <c r="D1311" s="91"/>
      <c r="G1311" s="91" t="s">
        <v>6028</v>
      </c>
      <c r="H1311" s="91" t="s">
        <v>6029</v>
      </c>
      <c r="L1311" s="13">
        <v>0</v>
      </c>
      <c r="M1311" t="s">
        <v>262</v>
      </c>
      <c r="N1311" t="s">
        <v>80</v>
      </c>
    </row>
    <row r="1312" spans="1:14" x14ac:dyDescent="0.25">
      <c r="A1312" s="143" t="s">
        <v>4567</v>
      </c>
      <c r="B1312" s="114"/>
      <c r="C1312" t="s">
        <v>4670</v>
      </c>
      <c r="D1312" s="91"/>
      <c r="G1312" s="91" t="s">
        <v>6136</v>
      </c>
      <c r="H1312" s="91" t="s">
        <v>6137</v>
      </c>
      <c r="L1312" s="13">
        <v>0</v>
      </c>
      <c r="M1312" t="s">
        <v>100</v>
      </c>
      <c r="N1312" t="s">
        <v>80</v>
      </c>
    </row>
    <row r="1313" spans="1:14" x14ac:dyDescent="0.25">
      <c r="A1313" s="143" t="s">
        <v>4567</v>
      </c>
      <c r="B1313" s="114"/>
      <c r="C1313" t="s">
        <v>4669</v>
      </c>
      <c r="D1313" s="91"/>
      <c r="G1313" s="91" t="s">
        <v>6134</v>
      </c>
      <c r="H1313" s="91" t="s">
        <v>6135</v>
      </c>
      <c r="L1313" s="13">
        <v>0</v>
      </c>
      <c r="M1313" t="s">
        <v>100</v>
      </c>
      <c r="N1313" t="s">
        <v>80</v>
      </c>
    </row>
    <row r="1314" spans="1:14" x14ac:dyDescent="0.25">
      <c r="A1314" s="143" t="s">
        <v>4567</v>
      </c>
      <c r="B1314" s="114"/>
      <c r="C1314" t="s">
        <v>4671</v>
      </c>
      <c r="D1314" s="91"/>
      <c r="G1314" s="91" t="s">
        <v>6138</v>
      </c>
      <c r="H1314" s="91" t="s">
        <v>6139</v>
      </c>
      <c r="L1314" s="13">
        <v>0</v>
      </c>
      <c r="M1314" t="s">
        <v>100</v>
      </c>
      <c r="N1314" t="s">
        <v>80</v>
      </c>
    </row>
    <row r="1315" spans="1:14" x14ac:dyDescent="0.25">
      <c r="A1315" s="143" t="s">
        <v>4567</v>
      </c>
      <c r="B1315" s="114"/>
      <c r="C1315" t="s">
        <v>4608</v>
      </c>
      <c r="D1315" s="91"/>
      <c r="G1315" s="91" t="s">
        <v>6012</v>
      </c>
      <c r="H1315" s="91" t="s">
        <v>6013</v>
      </c>
      <c r="L1315" s="13">
        <v>0</v>
      </c>
      <c r="M1315" t="s">
        <v>262</v>
      </c>
      <c r="N1315" t="s">
        <v>80</v>
      </c>
    </row>
    <row r="1316" spans="1:14" x14ac:dyDescent="0.25">
      <c r="A1316" s="143" t="s">
        <v>4567</v>
      </c>
      <c r="B1316" s="114"/>
      <c r="C1316" t="s">
        <v>4628</v>
      </c>
      <c r="D1316" s="91"/>
      <c r="G1316" s="91" t="s">
        <v>6052</v>
      </c>
      <c r="H1316" s="91" t="s">
        <v>6053</v>
      </c>
      <c r="L1316" s="13">
        <v>0</v>
      </c>
      <c r="M1316" t="s">
        <v>6377</v>
      </c>
      <c r="N1316" t="s">
        <v>80</v>
      </c>
    </row>
    <row r="1317" spans="1:14" x14ac:dyDescent="0.25">
      <c r="A1317" s="143" t="s">
        <v>4567</v>
      </c>
      <c r="B1317" s="114"/>
      <c r="C1317" t="s">
        <v>4621</v>
      </c>
      <c r="D1317" s="91"/>
      <c r="G1317" s="96" t="s">
        <v>6038</v>
      </c>
      <c r="H1317" s="96" t="s">
        <v>6039</v>
      </c>
      <c r="L1317" s="13">
        <v>0</v>
      </c>
      <c r="M1317" t="s">
        <v>6387</v>
      </c>
      <c r="N1317" t="s">
        <v>80</v>
      </c>
    </row>
    <row r="1318" spans="1:14" x14ac:dyDescent="0.25">
      <c r="A1318" s="143" t="s">
        <v>4567</v>
      </c>
      <c r="B1318" s="114"/>
      <c r="C1318" t="s">
        <v>4613</v>
      </c>
      <c r="D1318" s="91"/>
      <c r="G1318" s="91" t="s">
        <v>6022</v>
      </c>
      <c r="H1318" s="91" t="s">
        <v>6023</v>
      </c>
      <c r="L1318" s="13">
        <v>0</v>
      </c>
      <c r="M1318" t="s">
        <v>262</v>
      </c>
      <c r="N1318" t="s">
        <v>80</v>
      </c>
    </row>
    <row r="1319" spans="1:14" x14ac:dyDescent="0.25">
      <c r="A1319" s="143" t="s">
        <v>4567</v>
      </c>
      <c r="B1319" s="114"/>
      <c r="C1319" t="s">
        <v>4629</v>
      </c>
      <c r="D1319" s="91"/>
      <c r="G1319" s="91" t="s">
        <v>6054</v>
      </c>
      <c r="H1319" s="91" t="s">
        <v>6055</v>
      </c>
      <c r="L1319" s="13">
        <v>0</v>
      </c>
      <c r="M1319" t="s">
        <v>6377</v>
      </c>
      <c r="N1319" t="s">
        <v>80</v>
      </c>
    </row>
    <row r="1320" spans="1:14" x14ac:dyDescent="0.25">
      <c r="A1320" s="143" t="s">
        <v>4567</v>
      </c>
      <c r="B1320" s="114"/>
      <c r="C1320" t="s">
        <v>4624</v>
      </c>
      <c r="D1320" s="91"/>
      <c r="G1320" s="91" t="s">
        <v>6044</v>
      </c>
      <c r="H1320" s="91" t="s">
        <v>6045</v>
      </c>
      <c r="L1320" s="13">
        <v>0</v>
      </c>
      <c r="M1320" t="s">
        <v>6388</v>
      </c>
      <c r="N1320" t="s">
        <v>80</v>
      </c>
    </row>
    <row r="1321" spans="1:14" x14ac:dyDescent="0.25">
      <c r="A1321" s="143" t="s">
        <v>4567</v>
      </c>
      <c r="B1321" s="114"/>
      <c r="C1321" t="s">
        <v>4620</v>
      </c>
      <c r="D1321" s="91"/>
      <c r="G1321" s="96" t="s">
        <v>6036</v>
      </c>
      <c r="H1321" s="96" t="s">
        <v>6037</v>
      </c>
      <c r="L1321" s="13">
        <v>0</v>
      </c>
      <c r="M1321" t="s">
        <v>6387</v>
      </c>
      <c r="N1321" t="s">
        <v>80</v>
      </c>
    </row>
    <row r="1322" spans="1:14" x14ac:dyDescent="0.25">
      <c r="A1322" s="143" t="s">
        <v>4567</v>
      </c>
      <c r="B1322" s="114"/>
      <c r="C1322" t="s">
        <v>4614</v>
      </c>
      <c r="D1322" s="91"/>
      <c r="G1322" s="97" t="s">
        <v>6024</v>
      </c>
      <c r="H1322" s="97" t="s">
        <v>6025</v>
      </c>
      <c r="L1322" s="13">
        <v>0</v>
      </c>
      <c r="M1322" t="s">
        <v>262</v>
      </c>
      <c r="N1322" t="s">
        <v>80</v>
      </c>
    </row>
    <row r="1323" spans="1:14" x14ac:dyDescent="0.25">
      <c r="A1323" s="143" t="s">
        <v>4567</v>
      </c>
      <c r="B1323" s="114"/>
      <c r="C1323" t="s">
        <v>4617</v>
      </c>
      <c r="D1323" s="91"/>
      <c r="G1323" s="91" t="s">
        <v>6030</v>
      </c>
      <c r="H1323" s="91" t="s">
        <v>6031</v>
      </c>
      <c r="L1323" s="13">
        <v>0</v>
      </c>
      <c r="M1323" t="s">
        <v>262</v>
      </c>
      <c r="N1323" t="s">
        <v>80</v>
      </c>
    </row>
    <row r="1324" spans="1:14" x14ac:dyDescent="0.25">
      <c r="A1324" s="143" t="s">
        <v>4567</v>
      </c>
      <c r="B1324" s="114"/>
      <c r="C1324" t="s">
        <v>4647</v>
      </c>
      <c r="D1324" s="91"/>
      <c r="G1324" s="91" t="s">
        <v>6090</v>
      </c>
      <c r="H1324" s="91" t="s">
        <v>6091</v>
      </c>
      <c r="L1324" s="13">
        <v>0</v>
      </c>
      <c r="M1324" t="s">
        <v>262</v>
      </c>
      <c r="N1324" t="s">
        <v>80</v>
      </c>
    </row>
    <row r="1325" spans="1:14" x14ac:dyDescent="0.25">
      <c r="A1325" s="143" t="s">
        <v>4567</v>
      </c>
      <c r="B1325" s="114"/>
      <c r="C1325" t="s">
        <v>4636</v>
      </c>
      <c r="D1325" s="91"/>
      <c r="G1325" s="91" t="s">
        <v>6068</v>
      </c>
      <c r="H1325" s="91" t="s">
        <v>6069</v>
      </c>
      <c r="L1325" s="13">
        <v>0</v>
      </c>
      <c r="M1325" t="s">
        <v>262</v>
      </c>
      <c r="N1325" t="s">
        <v>80</v>
      </c>
    </row>
    <row r="1326" spans="1:14" x14ac:dyDescent="0.25">
      <c r="A1326" s="143" t="s">
        <v>4567</v>
      </c>
      <c r="B1326" s="114"/>
      <c r="C1326" t="s">
        <v>4637</v>
      </c>
      <c r="D1326" s="91"/>
      <c r="G1326" s="91" t="s">
        <v>6070</v>
      </c>
      <c r="H1326" s="91" t="s">
        <v>6071</v>
      </c>
      <c r="L1326" s="13">
        <v>0</v>
      </c>
      <c r="M1326" t="s">
        <v>262</v>
      </c>
      <c r="N1326" t="s">
        <v>80</v>
      </c>
    </row>
    <row r="1327" spans="1:14" x14ac:dyDescent="0.25">
      <c r="A1327" s="143" t="s">
        <v>4567</v>
      </c>
      <c r="B1327" s="114"/>
      <c r="C1327" t="s">
        <v>4638</v>
      </c>
      <c r="D1327" s="91"/>
      <c r="G1327" s="91" t="s">
        <v>6072</v>
      </c>
      <c r="H1327" s="91" t="s">
        <v>6073</v>
      </c>
      <c r="L1327" s="13">
        <v>0</v>
      </c>
      <c r="M1327" t="s">
        <v>262</v>
      </c>
      <c r="N1327" t="s">
        <v>80</v>
      </c>
    </row>
    <row r="1328" spans="1:14" x14ac:dyDescent="0.25">
      <c r="A1328" s="143" t="s">
        <v>4567</v>
      </c>
      <c r="B1328" s="114"/>
      <c r="C1328" t="s">
        <v>4642</v>
      </c>
      <c r="D1328" s="91"/>
      <c r="G1328" s="91" t="s">
        <v>6080</v>
      </c>
      <c r="H1328" s="91" t="s">
        <v>6081</v>
      </c>
      <c r="L1328" s="13">
        <v>0</v>
      </c>
      <c r="M1328" t="s">
        <v>262</v>
      </c>
      <c r="N1328" t="s">
        <v>80</v>
      </c>
    </row>
    <row r="1329" spans="1:14" x14ac:dyDescent="0.25">
      <c r="A1329" s="143" t="s">
        <v>4567</v>
      </c>
      <c r="B1329" s="114"/>
      <c r="C1329" t="s">
        <v>4646</v>
      </c>
      <c r="D1329" s="91"/>
      <c r="G1329" s="91" t="s">
        <v>6088</v>
      </c>
      <c r="H1329" s="91" t="s">
        <v>6089</v>
      </c>
      <c r="L1329" s="13">
        <v>0</v>
      </c>
      <c r="M1329" t="s">
        <v>262</v>
      </c>
      <c r="N1329" t="s">
        <v>80</v>
      </c>
    </row>
    <row r="1330" spans="1:14" x14ac:dyDescent="0.25">
      <c r="A1330" s="143" t="s">
        <v>4567</v>
      </c>
      <c r="B1330" s="114"/>
      <c r="C1330" t="s">
        <v>4649</v>
      </c>
      <c r="D1330" s="91"/>
      <c r="G1330" s="91" t="s">
        <v>6094</v>
      </c>
      <c r="H1330" s="91" t="s">
        <v>6095</v>
      </c>
      <c r="L1330" s="13">
        <v>0</v>
      </c>
      <c r="M1330" t="s">
        <v>262</v>
      </c>
      <c r="N1330" t="s">
        <v>80</v>
      </c>
    </row>
    <row r="1331" spans="1:14" x14ac:dyDescent="0.25">
      <c r="A1331" s="143" t="s">
        <v>4567</v>
      </c>
      <c r="B1331" s="114"/>
      <c r="C1331" t="s">
        <v>4654</v>
      </c>
      <c r="D1331" s="91"/>
      <c r="G1331" s="91" t="s">
        <v>6104</v>
      </c>
      <c r="H1331" s="91" t="s">
        <v>6105</v>
      </c>
      <c r="L1331" s="13">
        <v>0</v>
      </c>
      <c r="M1331" t="s">
        <v>262</v>
      </c>
      <c r="N1331" t="s">
        <v>80</v>
      </c>
    </row>
    <row r="1332" spans="1:14" x14ac:dyDescent="0.25">
      <c r="A1332" s="143" t="s">
        <v>4567</v>
      </c>
      <c r="B1332" s="114"/>
      <c r="C1332" t="s">
        <v>4685</v>
      </c>
      <c r="D1332" s="91"/>
      <c r="G1332" s="91" t="s">
        <v>6166</v>
      </c>
      <c r="H1332" s="91" t="s">
        <v>6167</v>
      </c>
      <c r="L1332" s="13">
        <v>0</v>
      </c>
      <c r="M1332" t="s">
        <v>262</v>
      </c>
      <c r="N1332" t="s">
        <v>80</v>
      </c>
    </row>
    <row r="1333" spans="1:14" x14ac:dyDescent="0.25">
      <c r="A1333" s="143" t="s">
        <v>4567</v>
      </c>
      <c r="B1333" s="114"/>
      <c r="C1333" t="s">
        <v>4639</v>
      </c>
      <c r="D1333" s="91"/>
      <c r="G1333" s="91" t="s">
        <v>6074</v>
      </c>
      <c r="H1333" s="91" t="s">
        <v>6075</v>
      </c>
      <c r="L1333" s="13">
        <v>0</v>
      </c>
      <c r="M1333" t="s">
        <v>262</v>
      </c>
      <c r="N1333" t="s">
        <v>80</v>
      </c>
    </row>
    <row r="1334" spans="1:14" x14ac:dyDescent="0.25">
      <c r="A1334" s="143" t="s">
        <v>4567</v>
      </c>
      <c r="B1334" s="114"/>
      <c r="C1334" t="s">
        <v>4640</v>
      </c>
      <c r="D1334" s="91"/>
      <c r="G1334" s="91" t="s">
        <v>6076</v>
      </c>
      <c r="H1334" s="91" t="s">
        <v>6077</v>
      </c>
      <c r="L1334" s="13">
        <v>0</v>
      </c>
      <c r="M1334" t="s">
        <v>262</v>
      </c>
      <c r="N1334" t="s">
        <v>80</v>
      </c>
    </row>
    <row r="1335" spans="1:14" x14ac:dyDescent="0.25">
      <c r="A1335" s="143" t="s">
        <v>4567</v>
      </c>
      <c r="B1335" s="114"/>
      <c r="C1335" t="s">
        <v>4643</v>
      </c>
      <c r="D1335" s="91"/>
      <c r="G1335" s="91" t="s">
        <v>6082</v>
      </c>
      <c r="H1335" s="91" t="s">
        <v>6083</v>
      </c>
      <c r="L1335" s="13">
        <v>0</v>
      </c>
      <c r="M1335" t="s">
        <v>262</v>
      </c>
      <c r="N1335" t="s">
        <v>80</v>
      </c>
    </row>
    <row r="1336" spans="1:14" x14ac:dyDescent="0.25">
      <c r="A1336" s="143" t="s">
        <v>4567</v>
      </c>
      <c r="B1336" s="114"/>
      <c r="C1336" t="s">
        <v>4648</v>
      </c>
      <c r="D1336" s="91"/>
      <c r="G1336" s="91" t="s">
        <v>6092</v>
      </c>
      <c r="H1336" s="91" t="s">
        <v>6093</v>
      </c>
      <c r="L1336" s="13">
        <v>0</v>
      </c>
      <c r="M1336" t="s">
        <v>262</v>
      </c>
      <c r="N1336" t="s">
        <v>80</v>
      </c>
    </row>
    <row r="1337" spans="1:14" x14ac:dyDescent="0.25">
      <c r="A1337" s="143" t="s">
        <v>4567</v>
      </c>
      <c r="B1337" s="114"/>
      <c r="C1337" t="s">
        <v>4641</v>
      </c>
      <c r="D1337" s="91"/>
      <c r="G1337" s="91" t="s">
        <v>6078</v>
      </c>
      <c r="H1337" s="91" t="s">
        <v>6079</v>
      </c>
      <c r="L1337" s="13">
        <v>0</v>
      </c>
      <c r="M1337" t="s">
        <v>262</v>
      </c>
      <c r="N1337" t="s">
        <v>80</v>
      </c>
    </row>
    <row r="1338" spans="1:14" x14ac:dyDescent="0.25">
      <c r="A1338" s="143" t="s">
        <v>4567</v>
      </c>
      <c r="B1338" s="114"/>
      <c r="C1338" t="s">
        <v>4626</v>
      </c>
      <c r="D1338" s="91"/>
      <c r="G1338" s="91" t="s">
        <v>6048</v>
      </c>
      <c r="H1338" s="91" t="s">
        <v>6049</v>
      </c>
      <c r="L1338" s="13">
        <v>0</v>
      </c>
      <c r="M1338" t="s">
        <v>262</v>
      </c>
      <c r="N1338" t="s">
        <v>80</v>
      </c>
    </row>
    <row r="1339" spans="1:14" x14ac:dyDescent="0.25">
      <c r="A1339" s="143" t="s">
        <v>4567</v>
      </c>
      <c r="B1339" s="114"/>
      <c r="C1339" t="s">
        <v>4644</v>
      </c>
      <c r="D1339" s="91"/>
      <c r="G1339" s="91" t="s">
        <v>6084</v>
      </c>
      <c r="H1339" s="91" t="s">
        <v>6085</v>
      </c>
      <c r="L1339" s="13">
        <v>0</v>
      </c>
      <c r="M1339" t="s">
        <v>262</v>
      </c>
      <c r="N1339" t="s">
        <v>80</v>
      </c>
    </row>
    <row r="1340" spans="1:14" x14ac:dyDescent="0.25">
      <c r="A1340" s="143" t="s">
        <v>4567</v>
      </c>
      <c r="B1340" s="114"/>
      <c r="C1340" t="s">
        <v>4683</v>
      </c>
      <c r="D1340" s="91"/>
      <c r="G1340" s="91" t="s">
        <v>6162</v>
      </c>
      <c r="H1340" s="91" t="s">
        <v>6163</v>
      </c>
      <c r="L1340" s="13">
        <v>0</v>
      </c>
      <c r="M1340" t="s">
        <v>262</v>
      </c>
      <c r="N1340" t="s">
        <v>80</v>
      </c>
    </row>
    <row r="1341" spans="1:14" x14ac:dyDescent="0.25">
      <c r="A1341" s="143" t="s">
        <v>4567</v>
      </c>
      <c r="B1341" s="114"/>
      <c r="C1341" t="s">
        <v>4684</v>
      </c>
      <c r="D1341" s="91"/>
      <c r="G1341" s="91" t="s">
        <v>6164</v>
      </c>
      <c r="H1341" s="91" t="s">
        <v>6165</v>
      </c>
      <c r="L1341" s="13">
        <v>0</v>
      </c>
      <c r="M1341" t="s">
        <v>6389</v>
      </c>
      <c r="N1341" t="s">
        <v>80</v>
      </c>
    </row>
    <row r="1342" spans="1:14" x14ac:dyDescent="0.25">
      <c r="A1342" s="143" t="s">
        <v>4567</v>
      </c>
      <c r="B1342" s="114"/>
      <c r="C1342" t="s">
        <v>4679</v>
      </c>
      <c r="D1342" s="91"/>
      <c r="G1342" s="91" t="s">
        <v>6154</v>
      </c>
      <c r="H1342" s="91" t="s">
        <v>6155</v>
      </c>
      <c r="L1342" s="13">
        <v>0</v>
      </c>
      <c r="M1342" t="s">
        <v>262</v>
      </c>
      <c r="N1342" t="s">
        <v>80</v>
      </c>
    </row>
    <row r="1343" spans="1:14" x14ac:dyDescent="0.25">
      <c r="A1343" s="143" t="s">
        <v>4567</v>
      </c>
      <c r="B1343" s="114"/>
      <c r="C1343" t="s">
        <v>4682</v>
      </c>
      <c r="D1343" s="91"/>
      <c r="G1343" s="91" t="s">
        <v>6160</v>
      </c>
      <c r="H1343" s="91" t="s">
        <v>6161</v>
      </c>
      <c r="L1343" s="13">
        <v>0</v>
      </c>
      <c r="M1343" t="s">
        <v>262</v>
      </c>
      <c r="N1343" t="s">
        <v>80</v>
      </c>
    </row>
    <row r="1344" spans="1:14" x14ac:dyDescent="0.25">
      <c r="A1344" s="143" t="s">
        <v>4567</v>
      </c>
      <c r="B1344" s="114"/>
      <c r="C1344" t="s">
        <v>4635</v>
      </c>
      <c r="D1344" s="91"/>
      <c r="G1344" s="91" t="s">
        <v>6066</v>
      </c>
      <c r="H1344" s="91" t="s">
        <v>6067</v>
      </c>
      <c r="L1344" s="13">
        <v>0</v>
      </c>
      <c r="M1344" t="s">
        <v>262</v>
      </c>
      <c r="N1344" t="s">
        <v>80</v>
      </c>
    </row>
    <row r="1345" spans="1:14" x14ac:dyDescent="0.25">
      <c r="A1345" s="143" t="s">
        <v>4567</v>
      </c>
      <c r="B1345" s="114"/>
      <c r="C1345" t="s">
        <v>4653</v>
      </c>
      <c r="D1345" s="91"/>
      <c r="G1345" s="91" t="s">
        <v>6102</v>
      </c>
      <c r="H1345" s="91" t="s">
        <v>6103</v>
      </c>
      <c r="L1345" s="13">
        <v>0</v>
      </c>
      <c r="M1345" t="s">
        <v>262</v>
      </c>
      <c r="N1345" t="s">
        <v>80</v>
      </c>
    </row>
    <row r="1346" spans="1:14" x14ac:dyDescent="0.25">
      <c r="A1346" s="143" t="s">
        <v>4567</v>
      </c>
      <c r="B1346" s="114"/>
      <c r="C1346" t="s">
        <v>4652</v>
      </c>
      <c r="D1346" s="91"/>
      <c r="G1346" s="91" t="s">
        <v>6100</v>
      </c>
      <c r="H1346" s="91" t="s">
        <v>6101</v>
      </c>
      <c r="L1346" s="13">
        <v>0</v>
      </c>
      <c r="M1346" t="s">
        <v>262</v>
      </c>
      <c r="N1346" t="s">
        <v>80</v>
      </c>
    </row>
    <row r="1347" spans="1:14" x14ac:dyDescent="0.25">
      <c r="A1347" s="143" t="s">
        <v>4567</v>
      </c>
      <c r="B1347" s="114"/>
      <c r="C1347" t="s">
        <v>4673</v>
      </c>
      <c r="D1347" s="91"/>
      <c r="G1347" s="91" t="s">
        <v>6142</v>
      </c>
      <c r="H1347" s="91" t="s">
        <v>6143</v>
      </c>
      <c r="L1347" s="13">
        <v>0</v>
      </c>
      <c r="M1347" t="s">
        <v>100</v>
      </c>
      <c r="N1347" t="s">
        <v>80</v>
      </c>
    </row>
    <row r="1348" spans="1:14" x14ac:dyDescent="0.25">
      <c r="A1348" s="143" t="s">
        <v>4567</v>
      </c>
      <c r="B1348" s="114"/>
      <c r="C1348" t="s">
        <v>4672</v>
      </c>
      <c r="D1348" s="91"/>
      <c r="G1348" s="91" t="s">
        <v>6140</v>
      </c>
      <c r="H1348" s="91" t="s">
        <v>6141</v>
      </c>
      <c r="L1348" s="13">
        <v>0</v>
      </c>
      <c r="M1348" t="s">
        <v>100</v>
      </c>
      <c r="N1348" t="s">
        <v>80</v>
      </c>
    </row>
    <row r="1349" spans="1:14" x14ac:dyDescent="0.25">
      <c r="A1349" s="143" t="s">
        <v>4567</v>
      </c>
      <c r="B1349" s="114"/>
      <c r="C1349" t="s">
        <v>4674</v>
      </c>
      <c r="D1349" s="91"/>
      <c r="G1349" s="91" t="s">
        <v>6144</v>
      </c>
      <c r="H1349" s="91" t="s">
        <v>6145</v>
      </c>
      <c r="L1349" s="13">
        <v>0</v>
      </c>
      <c r="M1349" t="s">
        <v>100</v>
      </c>
      <c r="N1349" t="s">
        <v>80</v>
      </c>
    </row>
    <row r="1350" spans="1:14" x14ac:dyDescent="0.25">
      <c r="A1350" s="143" t="s">
        <v>4567</v>
      </c>
      <c r="B1350" s="114"/>
      <c r="C1350" t="s">
        <v>4627</v>
      </c>
      <c r="G1350" s="91" t="s">
        <v>6050</v>
      </c>
      <c r="H1350" s="91" t="s">
        <v>6051</v>
      </c>
      <c r="L1350" s="13">
        <v>0</v>
      </c>
      <c r="M1350" t="s">
        <v>262</v>
      </c>
      <c r="N1350" t="s">
        <v>80</v>
      </c>
    </row>
    <row r="1351" spans="1:14" x14ac:dyDescent="0.25">
      <c r="A1351" s="143" t="s">
        <v>4567</v>
      </c>
      <c r="B1351" s="114"/>
      <c r="C1351" t="s">
        <v>4630</v>
      </c>
      <c r="D1351" s="91"/>
      <c r="G1351" s="91" t="s">
        <v>6056</v>
      </c>
      <c r="H1351" s="91" t="s">
        <v>6057</v>
      </c>
      <c r="L1351" s="13">
        <v>0</v>
      </c>
      <c r="M1351" t="s">
        <v>195</v>
      </c>
      <c r="N1351" t="s">
        <v>80</v>
      </c>
    </row>
    <row r="1352" spans="1:14" x14ac:dyDescent="0.25">
      <c r="A1352" s="143" t="s">
        <v>4567</v>
      </c>
      <c r="B1352" s="114"/>
      <c r="C1352" t="s">
        <v>4661</v>
      </c>
      <c r="D1352" s="91"/>
      <c r="G1352" s="91" t="s">
        <v>6118</v>
      </c>
      <c r="H1352" s="91" t="s">
        <v>6119</v>
      </c>
      <c r="L1352" s="13">
        <v>0</v>
      </c>
      <c r="M1352" t="s">
        <v>6377</v>
      </c>
      <c r="N1352" t="s">
        <v>80</v>
      </c>
    </row>
    <row r="1353" spans="1:14" x14ac:dyDescent="0.25">
      <c r="A1353" s="143" t="s">
        <v>4567</v>
      </c>
      <c r="B1353" s="114"/>
      <c r="C1353" t="s">
        <v>4662</v>
      </c>
      <c r="D1353" s="91"/>
      <c r="G1353" s="91" t="s">
        <v>6120</v>
      </c>
      <c r="H1353" s="91" t="s">
        <v>6121</v>
      </c>
      <c r="L1353" s="13">
        <v>0</v>
      </c>
      <c r="M1353" t="s">
        <v>6377</v>
      </c>
      <c r="N1353" t="s">
        <v>80</v>
      </c>
    </row>
    <row r="1354" spans="1:14" x14ac:dyDescent="0.25">
      <c r="A1354" s="143" t="s">
        <v>4567</v>
      </c>
      <c r="B1354" s="114"/>
      <c r="C1354" t="s">
        <v>4656</v>
      </c>
      <c r="D1354" s="91"/>
      <c r="G1354" s="91" t="s">
        <v>6108</v>
      </c>
      <c r="H1354" s="91" t="s">
        <v>6109</v>
      </c>
      <c r="L1354" s="13">
        <v>0</v>
      </c>
      <c r="M1354" t="s">
        <v>262</v>
      </c>
      <c r="N1354" t="s">
        <v>80</v>
      </c>
    </row>
    <row r="1355" spans="1:14" x14ac:dyDescent="0.25">
      <c r="A1355" s="143" t="s">
        <v>4567</v>
      </c>
      <c r="B1355" s="114"/>
      <c r="C1355" t="s">
        <v>4655</v>
      </c>
      <c r="D1355" s="91"/>
      <c r="G1355" s="91" t="s">
        <v>6106</v>
      </c>
      <c r="H1355" s="91" t="s">
        <v>6107</v>
      </c>
      <c r="L1355" s="13">
        <v>0</v>
      </c>
      <c r="M1355" t="s">
        <v>262</v>
      </c>
      <c r="N1355" t="s">
        <v>80</v>
      </c>
    </row>
    <row r="1356" spans="1:14" x14ac:dyDescent="0.25">
      <c r="A1356" s="143" t="s">
        <v>4567</v>
      </c>
      <c r="B1356" s="114"/>
      <c r="C1356" t="s">
        <v>4663</v>
      </c>
      <c r="D1356" s="91"/>
      <c r="G1356" s="91" t="s">
        <v>6122</v>
      </c>
      <c r="H1356" s="91" t="s">
        <v>6123</v>
      </c>
      <c r="L1356" s="13">
        <v>0</v>
      </c>
      <c r="M1356" t="s">
        <v>6377</v>
      </c>
      <c r="N1356" t="s">
        <v>80</v>
      </c>
    </row>
    <row r="1357" spans="1:14" x14ac:dyDescent="0.25">
      <c r="A1357" s="143" t="s">
        <v>4567</v>
      </c>
      <c r="B1357" s="114"/>
      <c r="C1357" t="s">
        <v>4664</v>
      </c>
      <c r="D1357" s="91"/>
      <c r="G1357" s="91" t="s">
        <v>6124</v>
      </c>
      <c r="H1357" s="91" t="s">
        <v>6125</v>
      </c>
      <c r="L1357" s="13">
        <v>0</v>
      </c>
      <c r="M1357" t="s">
        <v>6377</v>
      </c>
      <c r="N1357" t="s">
        <v>80</v>
      </c>
    </row>
    <row r="1358" spans="1:14" x14ac:dyDescent="0.25">
      <c r="A1358" s="143" t="s">
        <v>4567</v>
      </c>
      <c r="B1358" s="114"/>
      <c r="C1358" t="s">
        <v>4667</v>
      </c>
      <c r="D1358" s="91"/>
      <c r="G1358" s="91" t="s">
        <v>6130</v>
      </c>
      <c r="H1358" s="91" t="s">
        <v>6131</v>
      </c>
      <c r="L1358" s="13">
        <v>0</v>
      </c>
      <c r="M1358" t="s">
        <v>6377</v>
      </c>
      <c r="N1358" t="s">
        <v>80</v>
      </c>
    </row>
    <row r="1359" spans="1:14" x14ac:dyDescent="0.25">
      <c r="A1359" s="143" t="s">
        <v>4567</v>
      </c>
      <c r="B1359" s="114"/>
      <c r="C1359" t="s">
        <v>4665</v>
      </c>
      <c r="D1359" s="91"/>
      <c r="G1359" s="91" t="s">
        <v>6126</v>
      </c>
      <c r="H1359" s="91" t="s">
        <v>6127</v>
      </c>
      <c r="L1359" s="13">
        <v>0</v>
      </c>
      <c r="M1359" t="s">
        <v>6377</v>
      </c>
      <c r="N1359" t="s">
        <v>80</v>
      </c>
    </row>
    <row r="1360" spans="1:14" x14ac:dyDescent="0.25">
      <c r="A1360" s="143" t="s">
        <v>4567</v>
      </c>
      <c r="B1360" s="114"/>
      <c r="C1360" t="s">
        <v>4666</v>
      </c>
      <c r="D1360" s="91"/>
      <c r="G1360" s="91" t="s">
        <v>6128</v>
      </c>
      <c r="H1360" s="91" t="s">
        <v>6129</v>
      </c>
      <c r="L1360" s="13">
        <v>0</v>
      </c>
      <c r="M1360" t="s">
        <v>6377</v>
      </c>
      <c r="N1360" t="s">
        <v>80</v>
      </c>
    </row>
    <row r="1361" spans="1:15" x14ac:dyDescent="0.25">
      <c r="A1361" s="143" t="s">
        <v>4567</v>
      </c>
      <c r="B1361" s="114"/>
      <c r="C1361" t="s">
        <v>4651</v>
      </c>
      <c r="D1361" s="91"/>
      <c r="G1361" s="91" t="s">
        <v>6098</v>
      </c>
      <c r="H1361" s="91" t="s">
        <v>6099</v>
      </c>
      <c r="L1361" s="13">
        <v>0</v>
      </c>
      <c r="M1361" t="s">
        <v>262</v>
      </c>
      <c r="N1361" t="s">
        <v>80</v>
      </c>
    </row>
    <row r="1362" spans="1:15" x14ac:dyDescent="0.25">
      <c r="A1362" s="143" t="s">
        <v>4567</v>
      </c>
      <c r="B1362" s="114"/>
      <c r="C1362" t="s">
        <v>4650</v>
      </c>
      <c r="D1362" s="91"/>
      <c r="G1362" s="91" t="s">
        <v>6096</v>
      </c>
      <c r="H1362" s="91" t="s">
        <v>6097</v>
      </c>
      <c r="L1362" s="13">
        <v>0</v>
      </c>
      <c r="M1362" t="s">
        <v>262</v>
      </c>
      <c r="N1362" t="s">
        <v>80</v>
      </c>
    </row>
    <row r="1363" spans="1:15" x14ac:dyDescent="0.25">
      <c r="A1363" s="143" t="s">
        <v>4567</v>
      </c>
      <c r="B1363" s="114"/>
      <c r="C1363" t="s">
        <v>4668</v>
      </c>
      <c r="D1363" s="91"/>
      <c r="G1363" s="91" t="s">
        <v>6132</v>
      </c>
      <c r="H1363" s="91" t="s">
        <v>6133</v>
      </c>
      <c r="L1363" s="13">
        <v>0</v>
      </c>
      <c r="M1363" t="s">
        <v>6377</v>
      </c>
      <c r="N1363" t="s">
        <v>80</v>
      </c>
    </row>
    <row r="1364" spans="1:15" x14ac:dyDescent="0.25">
      <c r="A1364" s="143" t="s">
        <v>4567</v>
      </c>
      <c r="B1364" s="114"/>
      <c r="C1364" t="s">
        <v>4631</v>
      </c>
      <c r="D1364" s="91"/>
      <c r="G1364" s="98" t="s">
        <v>6058</v>
      </c>
      <c r="H1364" s="91" t="s">
        <v>6059</v>
      </c>
      <c r="L1364" s="13">
        <v>0</v>
      </c>
      <c r="M1364" t="s">
        <v>6373</v>
      </c>
      <c r="N1364" t="s">
        <v>80</v>
      </c>
    </row>
    <row r="1365" spans="1:15" x14ac:dyDescent="0.25">
      <c r="A1365" s="143" t="s">
        <v>4567</v>
      </c>
      <c r="B1365" s="114"/>
      <c r="C1365" t="s">
        <v>4645</v>
      </c>
      <c r="D1365" s="91"/>
      <c r="G1365" s="91" t="s">
        <v>6086</v>
      </c>
      <c r="H1365" s="91" t="s">
        <v>6087</v>
      </c>
      <c r="L1365" s="13">
        <v>0</v>
      </c>
      <c r="M1365" t="s">
        <v>262</v>
      </c>
      <c r="N1365" t="s">
        <v>80</v>
      </c>
    </row>
    <row r="1366" spans="1:15" x14ac:dyDescent="0.25">
      <c r="A1366" s="143" t="s">
        <v>4567</v>
      </c>
      <c r="B1366" s="114"/>
      <c r="C1366" t="s">
        <v>4675</v>
      </c>
      <c r="D1366" s="91"/>
      <c r="G1366" s="91" t="s">
        <v>6146</v>
      </c>
      <c r="H1366" s="91" t="s">
        <v>6147</v>
      </c>
      <c r="L1366" s="13">
        <v>0</v>
      </c>
      <c r="M1366" t="s">
        <v>6363</v>
      </c>
      <c r="N1366" t="s">
        <v>80</v>
      </c>
    </row>
    <row r="1367" spans="1:15" x14ac:dyDescent="0.25">
      <c r="A1367" s="143" t="s">
        <v>4567</v>
      </c>
      <c r="B1367" s="114"/>
      <c r="C1367" t="s">
        <v>4687</v>
      </c>
      <c r="D1367" s="91"/>
      <c r="G1367" s="91" t="s">
        <v>6170</v>
      </c>
      <c r="H1367" s="91" t="s">
        <v>6171</v>
      </c>
      <c r="L1367" s="13">
        <v>0</v>
      </c>
      <c r="M1367" t="s">
        <v>262</v>
      </c>
      <c r="N1367" t="s">
        <v>80</v>
      </c>
    </row>
    <row r="1368" spans="1:15" x14ac:dyDescent="0.25">
      <c r="A1368" s="143" t="s">
        <v>4567</v>
      </c>
      <c r="B1368" s="114"/>
      <c r="C1368" t="s">
        <v>4678</v>
      </c>
      <c r="D1368" s="91"/>
      <c r="G1368" s="91" t="s">
        <v>6152</v>
      </c>
      <c r="H1368" s="91" t="s">
        <v>6153</v>
      </c>
      <c r="L1368" s="13">
        <v>0</v>
      </c>
      <c r="M1368" t="s">
        <v>262</v>
      </c>
      <c r="N1368" t="s">
        <v>80</v>
      </c>
    </row>
    <row r="1369" spans="1:15" x14ac:dyDescent="0.25">
      <c r="A1369" s="143" t="s">
        <v>4567</v>
      </c>
      <c r="B1369" s="114"/>
      <c r="C1369" t="s">
        <v>4680</v>
      </c>
      <c r="D1369" s="91"/>
      <c r="G1369" s="91" t="s">
        <v>6156</v>
      </c>
      <c r="H1369" s="91" t="s">
        <v>6157</v>
      </c>
      <c r="L1369" s="13">
        <v>0</v>
      </c>
      <c r="M1369" t="s">
        <v>262</v>
      </c>
      <c r="N1369" t="s">
        <v>80</v>
      </c>
    </row>
    <row r="1370" spans="1:15" x14ac:dyDescent="0.25">
      <c r="A1370" s="143" t="s">
        <v>4567</v>
      </c>
      <c r="B1370" s="114"/>
      <c r="C1370" t="s">
        <v>4681</v>
      </c>
      <c r="D1370" s="91"/>
      <c r="G1370" s="91" t="s">
        <v>6158</v>
      </c>
      <c r="H1370" s="91" t="s">
        <v>6159</v>
      </c>
      <c r="L1370" s="13">
        <v>0</v>
      </c>
      <c r="M1370" t="s">
        <v>262</v>
      </c>
      <c r="N1370" t="s">
        <v>80</v>
      </c>
    </row>
    <row r="1371" spans="1:15" x14ac:dyDescent="0.25">
      <c r="A1371" s="143" t="s">
        <v>4567</v>
      </c>
      <c r="B1371" s="114"/>
      <c r="C1371" t="s">
        <v>4686</v>
      </c>
      <c r="D1371" s="91"/>
      <c r="G1371" s="91" t="s">
        <v>6168</v>
      </c>
      <c r="H1371" s="91" t="s">
        <v>6169</v>
      </c>
      <c r="L1371" s="13">
        <v>0</v>
      </c>
      <c r="M1371" t="s">
        <v>262</v>
      </c>
      <c r="N1371" t="s">
        <v>80</v>
      </c>
    </row>
    <row r="1372" spans="1:15" x14ac:dyDescent="0.25">
      <c r="A1372" s="123" t="s">
        <v>4535</v>
      </c>
      <c r="B1372" s="124">
        <v>0</v>
      </c>
      <c r="C1372" s="125" t="s">
        <v>93</v>
      </c>
      <c r="D1372" s="125" t="s">
        <v>1927</v>
      </c>
      <c r="E1372" s="126" t="s">
        <v>2139</v>
      </c>
      <c r="F1372" s="125" t="s">
        <v>2187</v>
      </c>
      <c r="G1372" s="125" t="s">
        <v>277</v>
      </c>
      <c r="H1372" s="125" t="s">
        <v>278</v>
      </c>
      <c r="I1372" s="125" t="s">
        <v>2320</v>
      </c>
      <c r="J1372" s="127"/>
      <c r="K1372" s="124">
        <v>1</v>
      </c>
      <c r="L1372" s="124" t="s">
        <v>605</v>
      </c>
      <c r="M1372" s="125" t="s">
        <v>91</v>
      </c>
      <c r="N1372" s="123" t="s">
        <v>80</v>
      </c>
      <c r="O1372" s="123"/>
    </row>
    <row r="1373" spans="1:15" x14ac:dyDescent="0.25">
      <c r="A1373" s="123" t="s">
        <v>4535</v>
      </c>
      <c r="B1373" s="124">
        <v>1</v>
      </c>
      <c r="C1373" s="125" t="s">
        <v>4144</v>
      </c>
      <c r="D1373" s="125" t="s">
        <v>6776</v>
      </c>
      <c r="E1373" s="126"/>
      <c r="F1373" s="125"/>
      <c r="G1373" s="125"/>
      <c r="H1373" s="125"/>
      <c r="I1373" s="125"/>
      <c r="J1373" s="127"/>
      <c r="K1373" s="124"/>
      <c r="L1373" s="124" t="s">
        <v>605</v>
      </c>
      <c r="M1373" s="125" t="s">
        <v>91</v>
      </c>
      <c r="N1373" s="123" t="s">
        <v>80</v>
      </c>
      <c r="O1373" s="123"/>
    </row>
    <row r="1374" spans="1:15" x14ac:dyDescent="0.25">
      <c r="A1374" s="143" t="s">
        <v>4535</v>
      </c>
      <c r="B1374" s="114">
        <v>2</v>
      </c>
      <c r="C1374" t="s">
        <v>4145</v>
      </c>
      <c r="D1374" s="91" t="s">
        <v>6775</v>
      </c>
      <c r="G1374" s="91" t="s">
        <v>465</v>
      </c>
      <c r="H1374" s="91" t="s">
        <v>5084</v>
      </c>
      <c r="L1374" s="13" t="s">
        <v>605</v>
      </c>
      <c r="M1374" t="s">
        <v>100</v>
      </c>
      <c r="N1374" t="s">
        <v>80</v>
      </c>
    </row>
    <row r="1375" spans="1:15" x14ac:dyDescent="0.25">
      <c r="A1375" s="123" t="s">
        <v>4535</v>
      </c>
      <c r="B1375" s="124">
        <v>3</v>
      </c>
      <c r="C1375" s="125" t="s">
        <v>6443</v>
      </c>
      <c r="D1375" s="125" t="s">
        <v>6746</v>
      </c>
      <c r="E1375" s="126"/>
      <c r="F1375" s="125"/>
      <c r="G1375" s="125"/>
      <c r="H1375" s="125"/>
      <c r="I1375" s="125"/>
      <c r="J1375" s="127"/>
      <c r="K1375" s="124"/>
      <c r="L1375" s="128" t="s">
        <v>605</v>
      </c>
      <c r="M1375" s="62" t="s">
        <v>91</v>
      </c>
      <c r="N1375" s="123" t="s">
        <v>80</v>
      </c>
      <c r="O1375" s="123"/>
    </row>
    <row r="1376" spans="1:15" x14ac:dyDescent="0.25">
      <c r="A1376" s="123" t="s">
        <v>4535</v>
      </c>
      <c r="B1376" s="124">
        <v>4</v>
      </c>
      <c r="C1376" s="125" t="s">
        <v>116</v>
      </c>
      <c r="D1376" s="127" t="s">
        <v>6747</v>
      </c>
      <c r="E1376" s="126"/>
      <c r="F1376" s="125"/>
      <c r="G1376" s="125"/>
      <c r="H1376" s="125"/>
      <c r="I1376" s="125"/>
      <c r="J1376" s="127"/>
      <c r="K1376" s="124"/>
      <c r="L1376" s="128" t="s">
        <v>605</v>
      </c>
      <c r="M1376" s="125" t="s">
        <v>100</v>
      </c>
      <c r="N1376" s="123" t="s">
        <v>80</v>
      </c>
      <c r="O1376" s="123"/>
    </row>
    <row r="1377" spans="1:15" x14ac:dyDescent="0.25">
      <c r="A1377" s="123" t="s">
        <v>4535</v>
      </c>
      <c r="B1377" s="124">
        <v>5</v>
      </c>
      <c r="C1377" s="125" t="s">
        <v>267</v>
      </c>
      <c r="D1377" s="125" t="s">
        <v>6496</v>
      </c>
      <c r="E1377" s="126" t="s">
        <v>1602</v>
      </c>
      <c r="F1377" s="125" t="s">
        <v>2232</v>
      </c>
      <c r="G1377" s="125" t="s">
        <v>480</v>
      </c>
      <c r="H1377" s="125" t="s">
        <v>481</v>
      </c>
      <c r="I1377" s="125" t="s">
        <v>2232</v>
      </c>
      <c r="J1377" s="127"/>
      <c r="K1377" s="124">
        <v>0</v>
      </c>
      <c r="L1377" s="128" t="s">
        <v>605</v>
      </c>
      <c r="M1377" s="125" t="s">
        <v>153</v>
      </c>
      <c r="N1377" s="123" t="s">
        <v>80</v>
      </c>
      <c r="O1377" s="123"/>
    </row>
    <row r="1378" spans="1:15" s="123" customFormat="1" x14ac:dyDescent="0.25">
      <c r="A1378" s="123" t="s">
        <v>4535</v>
      </c>
      <c r="B1378" s="124">
        <v>6</v>
      </c>
      <c r="C1378" s="125" t="s">
        <v>6946</v>
      </c>
      <c r="D1378" s="127" t="s">
        <v>6778</v>
      </c>
      <c r="E1378" s="126"/>
      <c r="F1378" s="125"/>
      <c r="G1378" s="125"/>
      <c r="H1378" s="125"/>
      <c r="I1378" s="125"/>
      <c r="J1378" s="127"/>
      <c r="K1378" s="124"/>
      <c r="L1378" s="128" t="s">
        <v>605</v>
      </c>
      <c r="M1378" s="125" t="s">
        <v>100</v>
      </c>
      <c r="N1378" s="123" t="s">
        <v>80</v>
      </c>
    </row>
    <row r="1379" spans="1:15" x14ac:dyDescent="0.25">
      <c r="A1379" s="143" t="s">
        <v>4535</v>
      </c>
      <c r="B1379" s="114">
        <v>45</v>
      </c>
      <c r="C1379" t="s">
        <v>4536</v>
      </c>
      <c r="D1379" s="91"/>
      <c r="G1379" s="91" t="s">
        <v>5873</v>
      </c>
      <c r="H1379" s="91" t="s">
        <v>2843</v>
      </c>
      <c r="L1379" s="13">
        <v>0</v>
      </c>
      <c r="M1379" t="s">
        <v>139</v>
      </c>
      <c r="N1379" t="s">
        <v>80</v>
      </c>
    </row>
    <row r="1380" spans="1:15" x14ac:dyDescent="0.25">
      <c r="A1380" s="143" t="s">
        <v>4535</v>
      </c>
      <c r="B1380" s="114"/>
      <c r="C1380" t="s">
        <v>4537</v>
      </c>
      <c r="D1380" s="91"/>
      <c r="G1380" s="91" t="s">
        <v>5874</v>
      </c>
      <c r="H1380" s="91" t="s">
        <v>5875</v>
      </c>
      <c r="L1380" s="13">
        <v>0</v>
      </c>
      <c r="M1380" t="s">
        <v>165</v>
      </c>
      <c r="N1380" t="s">
        <v>80</v>
      </c>
    </row>
    <row r="1381" spans="1:15" x14ac:dyDescent="0.25">
      <c r="A1381" s="143" t="s">
        <v>4535</v>
      </c>
      <c r="B1381" s="114"/>
      <c r="C1381" t="s">
        <v>4538</v>
      </c>
      <c r="D1381" s="91"/>
      <c r="G1381" s="91" t="s">
        <v>5876</v>
      </c>
      <c r="H1381" s="91" t="s">
        <v>5877</v>
      </c>
      <c r="L1381" s="13">
        <v>0</v>
      </c>
      <c r="M1381" t="s">
        <v>165</v>
      </c>
      <c r="N1381" t="s">
        <v>80</v>
      </c>
    </row>
    <row r="1382" spans="1:15" x14ac:dyDescent="0.25">
      <c r="A1382" s="143" t="s">
        <v>4535</v>
      </c>
      <c r="B1382" s="114"/>
      <c r="C1382" t="s">
        <v>4552</v>
      </c>
      <c r="D1382" s="91"/>
      <c r="G1382" s="91" t="s">
        <v>5904</v>
      </c>
      <c r="H1382" s="91" t="s">
        <v>5905</v>
      </c>
      <c r="L1382" s="13">
        <v>0</v>
      </c>
      <c r="M1382" t="s">
        <v>6349</v>
      </c>
      <c r="N1382" t="s">
        <v>80</v>
      </c>
    </row>
    <row r="1383" spans="1:15" x14ac:dyDescent="0.25">
      <c r="A1383" s="143" t="s">
        <v>4535</v>
      </c>
      <c r="B1383" s="114"/>
      <c r="C1383" t="s">
        <v>4543</v>
      </c>
      <c r="D1383" s="91"/>
      <c r="G1383" s="91" t="s">
        <v>5886</v>
      </c>
      <c r="H1383" s="91" t="s">
        <v>5887</v>
      </c>
      <c r="L1383" s="13">
        <v>0</v>
      </c>
      <c r="M1383" t="s">
        <v>165</v>
      </c>
      <c r="N1383" t="s">
        <v>80</v>
      </c>
    </row>
    <row r="1384" spans="1:15" x14ac:dyDescent="0.25">
      <c r="A1384" s="143" t="s">
        <v>4535</v>
      </c>
      <c r="B1384" s="114"/>
      <c r="C1384" t="s">
        <v>4553</v>
      </c>
      <c r="D1384" s="91"/>
      <c r="G1384" s="91" t="s">
        <v>5906</v>
      </c>
      <c r="H1384" s="91" t="s">
        <v>5907</v>
      </c>
      <c r="L1384" s="13">
        <v>0</v>
      </c>
      <c r="M1384" t="s">
        <v>6349</v>
      </c>
      <c r="N1384" t="s">
        <v>80</v>
      </c>
    </row>
    <row r="1385" spans="1:15" x14ac:dyDescent="0.25">
      <c r="A1385" s="143" t="s">
        <v>4535</v>
      </c>
      <c r="B1385" s="114"/>
      <c r="C1385" t="s">
        <v>4541</v>
      </c>
      <c r="D1385" s="91"/>
      <c r="G1385" s="91" t="s">
        <v>5882</v>
      </c>
      <c r="H1385" s="91" t="s">
        <v>5883</v>
      </c>
      <c r="L1385" s="13">
        <v>0</v>
      </c>
      <c r="M1385" t="s">
        <v>165</v>
      </c>
      <c r="N1385" t="s">
        <v>80</v>
      </c>
    </row>
    <row r="1386" spans="1:15" x14ac:dyDescent="0.25">
      <c r="A1386" s="143" t="s">
        <v>4535</v>
      </c>
      <c r="B1386" s="114"/>
      <c r="C1386" t="s">
        <v>4546</v>
      </c>
      <c r="D1386" s="91"/>
      <c r="G1386" s="91" t="s">
        <v>5892</v>
      </c>
      <c r="H1386" s="91" t="s">
        <v>5893</v>
      </c>
      <c r="L1386" s="13">
        <v>0</v>
      </c>
      <c r="M1386" t="s">
        <v>6349</v>
      </c>
      <c r="N1386" t="s">
        <v>80</v>
      </c>
    </row>
    <row r="1387" spans="1:15" x14ac:dyDescent="0.25">
      <c r="A1387" s="143" t="s">
        <v>4535</v>
      </c>
      <c r="B1387" s="114"/>
      <c r="C1387" t="s">
        <v>4556</v>
      </c>
      <c r="D1387" s="91"/>
      <c r="G1387" s="91" t="s">
        <v>5912</v>
      </c>
      <c r="H1387" s="91" t="s">
        <v>5913</v>
      </c>
      <c r="L1387" s="13">
        <v>0</v>
      </c>
      <c r="M1387" t="s">
        <v>100</v>
      </c>
      <c r="N1387" t="s">
        <v>80</v>
      </c>
    </row>
    <row r="1388" spans="1:15" x14ac:dyDescent="0.25">
      <c r="A1388" s="143" t="s">
        <v>4535</v>
      </c>
      <c r="B1388" s="114"/>
      <c r="C1388" t="s">
        <v>4547</v>
      </c>
      <c r="D1388" s="91"/>
      <c r="G1388" s="91" t="s">
        <v>5894</v>
      </c>
      <c r="H1388" s="91" t="s">
        <v>5895</v>
      </c>
      <c r="L1388" s="13">
        <v>0</v>
      </c>
      <c r="M1388" t="s">
        <v>6349</v>
      </c>
      <c r="N1388" t="s">
        <v>80</v>
      </c>
    </row>
    <row r="1389" spans="1:15" x14ac:dyDescent="0.25">
      <c r="A1389" s="143" t="s">
        <v>4535</v>
      </c>
      <c r="B1389" s="114"/>
      <c r="C1389" t="s">
        <v>4545</v>
      </c>
      <c r="D1389" s="91"/>
      <c r="G1389" s="91" t="s">
        <v>5890</v>
      </c>
      <c r="H1389" s="91" t="s">
        <v>5891</v>
      </c>
      <c r="L1389" s="13">
        <v>0</v>
      </c>
      <c r="M1389" t="s">
        <v>165</v>
      </c>
      <c r="N1389" t="s">
        <v>80</v>
      </c>
    </row>
    <row r="1390" spans="1:15" x14ac:dyDescent="0.25">
      <c r="A1390" s="143" t="s">
        <v>4535</v>
      </c>
      <c r="B1390" s="114"/>
      <c r="C1390" t="s">
        <v>4554</v>
      </c>
      <c r="D1390" s="91"/>
      <c r="G1390" s="91" t="s">
        <v>5908</v>
      </c>
      <c r="H1390" s="91" t="s">
        <v>5909</v>
      </c>
      <c r="L1390" s="13">
        <v>0</v>
      </c>
      <c r="M1390" t="s">
        <v>6349</v>
      </c>
      <c r="N1390" t="s">
        <v>80</v>
      </c>
    </row>
    <row r="1391" spans="1:15" x14ac:dyDescent="0.25">
      <c r="A1391" s="143" t="s">
        <v>4535</v>
      </c>
      <c r="B1391" s="114"/>
      <c r="C1391" t="s">
        <v>4542</v>
      </c>
      <c r="D1391" s="91"/>
      <c r="G1391" s="91" t="s">
        <v>5884</v>
      </c>
      <c r="H1391" s="91" t="s">
        <v>5885</v>
      </c>
      <c r="L1391" s="13">
        <v>0</v>
      </c>
      <c r="M1391" t="s">
        <v>165</v>
      </c>
      <c r="N1391" t="s">
        <v>80</v>
      </c>
    </row>
    <row r="1392" spans="1:15" x14ac:dyDescent="0.25">
      <c r="A1392" s="143" t="s">
        <v>4535</v>
      </c>
      <c r="B1392" s="114"/>
      <c r="C1392" t="s">
        <v>4550</v>
      </c>
      <c r="D1392" s="91"/>
      <c r="G1392" s="91" t="s">
        <v>5900</v>
      </c>
      <c r="H1392" s="91" t="s">
        <v>5901</v>
      </c>
      <c r="L1392" s="13">
        <v>0</v>
      </c>
      <c r="M1392" t="s">
        <v>6349</v>
      </c>
      <c r="N1392" t="s">
        <v>80</v>
      </c>
    </row>
    <row r="1393" spans="1:14" x14ac:dyDescent="0.25">
      <c r="A1393" s="143" t="s">
        <v>4535</v>
      </c>
      <c r="B1393" s="114"/>
      <c r="C1393" t="s">
        <v>4551</v>
      </c>
      <c r="D1393" s="91"/>
      <c r="G1393" s="91" t="s">
        <v>5902</v>
      </c>
      <c r="H1393" s="91" t="s">
        <v>5903</v>
      </c>
      <c r="L1393" s="13">
        <v>0</v>
      </c>
      <c r="M1393" t="s">
        <v>6349</v>
      </c>
      <c r="N1393" t="s">
        <v>80</v>
      </c>
    </row>
    <row r="1394" spans="1:14" x14ac:dyDescent="0.25">
      <c r="A1394" s="143" t="s">
        <v>4535</v>
      </c>
      <c r="B1394" s="114"/>
      <c r="C1394" t="s">
        <v>4539</v>
      </c>
      <c r="D1394" s="91"/>
      <c r="G1394" s="91" t="s">
        <v>5878</v>
      </c>
      <c r="H1394" s="91" t="s">
        <v>5879</v>
      </c>
      <c r="L1394" s="13">
        <v>0</v>
      </c>
      <c r="M1394" t="s">
        <v>165</v>
      </c>
      <c r="N1394" t="s">
        <v>80</v>
      </c>
    </row>
    <row r="1395" spans="1:14" x14ac:dyDescent="0.25">
      <c r="A1395" s="143" t="s">
        <v>4535</v>
      </c>
      <c r="B1395" s="114"/>
      <c r="C1395" t="s">
        <v>4540</v>
      </c>
      <c r="D1395" s="91"/>
      <c r="G1395" s="91" t="s">
        <v>5880</v>
      </c>
      <c r="H1395" s="91" t="s">
        <v>5881</v>
      </c>
      <c r="L1395" s="13">
        <v>0</v>
      </c>
      <c r="M1395" t="s">
        <v>165</v>
      </c>
      <c r="N1395" t="s">
        <v>80</v>
      </c>
    </row>
    <row r="1396" spans="1:14" x14ac:dyDescent="0.25">
      <c r="A1396" s="143" t="s">
        <v>4535</v>
      </c>
      <c r="B1396" s="114"/>
      <c r="C1396" t="s">
        <v>4549</v>
      </c>
      <c r="D1396" s="91"/>
      <c r="G1396" s="91" t="s">
        <v>5898</v>
      </c>
      <c r="H1396" s="91" t="s">
        <v>5899</v>
      </c>
      <c r="L1396" s="13">
        <v>0</v>
      </c>
      <c r="M1396" t="s">
        <v>6349</v>
      </c>
      <c r="N1396" t="s">
        <v>80</v>
      </c>
    </row>
    <row r="1397" spans="1:14" x14ac:dyDescent="0.25">
      <c r="A1397" s="143" t="s">
        <v>4535</v>
      </c>
      <c r="B1397" s="114"/>
      <c r="C1397" t="s">
        <v>4548</v>
      </c>
      <c r="D1397" s="91"/>
      <c r="G1397" s="91" t="s">
        <v>5896</v>
      </c>
      <c r="H1397" s="91" t="s">
        <v>5897</v>
      </c>
      <c r="L1397" s="13">
        <v>0</v>
      </c>
      <c r="M1397" t="s">
        <v>6349</v>
      </c>
      <c r="N1397" t="s">
        <v>80</v>
      </c>
    </row>
    <row r="1398" spans="1:14" x14ac:dyDescent="0.25">
      <c r="A1398" s="143" t="s">
        <v>4535</v>
      </c>
      <c r="B1398" s="114"/>
      <c r="C1398" t="s">
        <v>4557</v>
      </c>
      <c r="D1398" s="91"/>
      <c r="G1398" s="91" t="s">
        <v>5914</v>
      </c>
      <c r="H1398" s="91" t="s">
        <v>5915</v>
      </c>
      <c r="L1398" s="13">
        <v>0</v>
      </c>
      <c r="M1398" t="s">
        <v>100</v>
      </c>
      <c r="N1398" t="s">
        <v>80</v>
      </c>
    </row>
    <row r="1399" spans="1:14" x14ac:dyDescent="0.25">
      <c r="A1399" s="143" t="s">
        <v>4535</v>
      </c>
      <c r="B1399" s="114"/>
      <c r="C1399" t="s">
        <v>4544</v>
      </c>
      <c r="D1399" s="91"/>
      <c r="G1399" s="91" t="s">
        <v>5888</v>
      </c>
      <c r="H1399" s="91" t="s">
        <v>5889</v>
      </c>
      <c r="L1399" s="13">
        <v>0</v>
      </c>
      <c r="M1399" t="s">
        <v>165</v>
      </c>
      <c r="N1399" t="s">
        <v>80</v>
      </c>
    </row>
    <row r="1400" spans="1:14" x14ac:dyDescent="0.25">
      <c r="A1400" s="143" t="s">
        <v>4535</v>
      </c>
      <c r="B1400" s="114"/>
      <c r="C1400" t="s">
        <v>4558</v>
      </c>
      <c r="D1400" s="91"/>
      <c r="G1400" s="91" t="s">
        <v>5916</v>
      </c>
      <c r="H1400" s="91" t="s">
        <v>5917</v>
      </c>
      <c r="L1400" s="13">
        <v>0</v>
      </c>
      <c r="M1400" t="s">
        <v>100</v>
      </c>
      <c r="N1400" t="s">
        <v>80</v>
      </c>
    </row>
    <row r="1401" spans="1:14" x14ac:dyDescent="0.25">
      <c r="A1401" s="143" t="s">
        <v>4535</v>
      </c>
      <c r="B1401" s="114"/>
      <c r="C1401" t="s">
        <v>4559</v>
      </c>
      <c r="D1401" s="91"/>
      <c r="G1401" s="91" t="s">
        <v>5918</v>
      </c>
      <c r="H1401" s="91" t="s">
        <v>5919</v>
      </c>
      <c r="L1401" s="13">
        <v>0</v>
      </c>
      <c r="M1401" t="s">
        <v>100</v>
      </c>
      <c r="N1401" t="s">
        <v>80</v>
      </c>
    </row>
    <row r="1402" spans="1:14" x14ac:dyDescent="0.25">
      <c r="A1402" s="143" t="s">
        <v>4535</v>
      </c>
      <c r="B1402" s="114"/>
      <c r="C1402" t="s">
        <v>4560</v>
      </c>
      <c r="D1402" s="91"/>
      <c r="G1402" s="91" t="s">
        <v>5920</v>
      </c>
      <c r="H1402" s="91" t="s">
        <v>5921</v>
      </c>
      <c r="L1402" s="13">
        <v>0</v>
      </c>
      <c r="M1402" t="s">
        <v>100</v>
      </c>
      <c r="N1402" t="s">
        <v>80</v>
      </c>
    </row>
    <row r="1403" spans="1:14" x14ac:dyDescent="0.25">
      <c r="A1403" s="143" t="s">
        <v>4535</v>
      </c>
      <c r="B1403" s="114"/>
      <c r="C1403" t="s">
        <v>4562</v>
      </c>
      <c r="D1403" s="91"/>
      <c r="G1403" s="91" t="s">
        <v>5924</v>
      </c>
      <c r="H1403" s="91" t="s">
        <v>5925</v>
      </c>
      <c r="L1403" s="13">
        <v>0</v>
      </c>
      <c r="M1403" t="s">
        <v>100</v>
      </c>
      <c r="N1403" t="s">
        <v>80</v>
      </c>
    </row>
    <row r="1404" spans="1:14" x14ac:dyDescent="0.25">
      <c r="A1404" s="143" t="s">
        <v>4535</v>
      </c>
      <c r="B1404" s="114"/>
      <c r="C1404" t="s">
        <v>4561</v>
      </c>
      <c r="D1404" s="91"/>
      <c r="G1404" s="91" t="s">
        <v>5922</v>
      </c>
      <c r="H1404" s="91" t="s">
        <v>5923</v>
      </c>
      <c r="L1404" s="13">
        <v>0</v>
      </c>
      <c r="M1404" t="s">
        <v>100</v>
      </c>
      <c r="N1404" t="s">
        <v>80</v>
      </c>
    </row>
    <row r="1405" spans="1:14" x14ac:dyDescent="0.25">
      <c r="A1405" s="143" t="s">
        <v>4535</v>
      </c>
      <c r="B1405" s="114"/>
      <c r="C1405" t="s">
        <v>4555</v>
      </c>
      <c r="D1405" s="91"/>
      <c r="G1405" s="91" t="s">
        <v>5910</v>
      </c>
      <c r="H1405" s="91" t="s">
        <v>5911</v>
      </c>
      <c r="L1405" s="13">
        <v>0</v>
      </c>
      <c r="M1405" t="s">
        <v>100</v>
      </c>
      <c r="N1405" t="s">
        <v>80</v>
      </c>
    </row>
    <row r="1406" spans="1:14" x14ac:dyDescent="0.25">
      <c r="A1406" s="143" t="s">
        <v>4535</v>
      </c>
      <c r="B1406" s="114"/>
      <c r="C1406" t="s">
        <v>4563</v>
      </c>
      <c r="D1406" s="91"/>
      <c r="G1406" s="91" t="s">
        <v>5926</v>
      </c>
      <c r="H1406" s="91" t="s">
        <v>5927</v>
      </c>
      <c r="L1406" s="13">
        <v>0</v>
      </c>
      <c r="M1406" t="s">
        <v>100</v>
      </c>
      <c r="N1406" t="s">
        <v>80</v>
      </c>
    </row>
    <row r="1407" spans="1:14" x14ac:dyDescent="0.25">
      <c r="A1407" s="143" t="s">
        <v>4535</v>
      </c>
      <c r="B1407" s="114"/>
      <c r="C1407" t="s">
        <v>4564</v>
      </c>
      <c r="D1407" s="91"/>
      <c r="G1407" s="91" t="s">
        <v>5928</v>
      </c>
      <c r="H1407" s="91" t="s">
        <v>5929</v>
      </c>
      <c r="L1407" s="13">
        <v>0</v>
      </c>
      <c r="M1407" t="s">
        <v>100</v>
      </c>
      <c r="N1407" t="s">
        <v>80</v>
      </c>
    </row>
    <row r="1408" spans="1:14" x14ac:dyDescent="0.25">
      <c r="A1408" s="143" t="s">
        <v>4535</v>
      </c>
      <c r="B1408" s="114"/>
      <c r="C1408" t="s">
        <v>4565</v>
      </c>
      <c r="D1408" s="91"/>
      <c r="G1408" s="91" t="s">
        <v>5930</v>
      </c>
      <c r="H1408" s="91" t="s">
        <v>5931</v>
      </c>
      <c r="L1408" s="13">
        <v>0</v>
      </c>
      <c r="M1408" t="s">
        <v>100</v>
      </c>
      <c r="N1408" t="s">
        <v>80</v>
      </c>
    </row>
    <row r="1409" spans="1:14" x14ac:dyDescent="0.25">
      <c r="A1409" s="143" t="s">
        <v>4535</v>
      </c>
      <c r="B1409" s="114"/>
      <c r="C1409" t="s">
        <v>4566</v>
      </c>
      <c r="D1409" s="91"/>
      <c r="G1409" s="91" t="s">
        <v>5932</v>
      </c>
      <c r="H1409" s="91" t="s">
        <v>5933</v>
      </c>
      <c r="L1409" s="13">
        <v>0</v>
      </c>
      <c r="M1409" t="s">
        <v>100</v>
      </c>
      <c r="N1409" t="s">
        <v>80</v>
      </c>
    </row>
    <row r="1410" spans="1:14" x14ac:dyDescent="0.25">
      <c r="A1410" s="143" t="s">
        <v>77</v>
      </c>
      <c r="B1410" s="13">
        <v>-99</v>
      </c>
      <c r="C1410" t="s">
        <v>6933</v>
      </c>
      <c r="G1410" t="s">
        <v>6934</v>
      </c>
      <c r="H1410" t="s">
        <v>6935</v>
      </c>
      <c r="M1410" t="s">
        <v>3009</v>
      </c>
      <c r="N1410" t="s">
        <v>74</v>
      </c>
    </row>
    <row r="1411" spans="1:14" x14ac:dyDescent="0.25">
      <c r="A1411" t="s">
        <v>77</v>
      </c>
      <c r="B1411" s="114">
        <v>0</v>
      </c>
      <c r="C1411" t="s">
        <v>4076</v>
      </c>
      <c r="D1411" s="62" t="s">
        <v>6582</v>
      </c>
      <c r="G1411" t="s">
        <v>4950</v>
      </c>
      <c r="H1411" t="s">
        <v>4951</v>
      </c>
      <c r="L1411" s="13" t="s">
        <v>605</v>
      </c>
      <c r="M1411" t="s">
        <v>100</v>
      </c>
      <c r="N1411" t="s">
        <v>74</v>
      </c>
    </row>
    <row r="1412" spans="1:14" x14ac:dyDescent="0.25">
      <c r="A1412" t="s">
        <v>77</v>
      </c>
      <c r="B1412" s="115">
        <v>1</v>
      </c>
      <c r="C1412" s="61" t="s">
        <v>236</v>
      </c>
      <c r="D1412" s="61" t="s">
        <v>1921</v>
      </c>
      <c r="E1412" s="77" t="s">
        <v>1638</v>
      </c>
      <c r="F1412" s="61" t="s">
        <v>2186</v>
      </c>
      <c r="G1412" s="61" t="s">
        <v>550</v>
      </c>
      <c r="H1412" s="61" t="s">
        <v>573</v>
      </c>
      <c r="I1412" s="75" t="s">
        <v>2442</v>
      </c>
      <c r="J1412" s="63"/>
      <c r="K1412" s="84">
        <v>1</v>
      </c>
      <c r="L1412" s="84" t="s">
        <v>605</v>
      </c>
      <c r="M1412" s="61" t="s">
        <v>92</v>
      </c>
      <c r="N1412" t="s">
        <v>74</v>
      </c>
    </row>
    <row r="1413" spans="1:14" x14ac:dyDescent="0.25">
      <c r="A1413" t="s">
        <v>77</v>
      </c>
      <c r="B1413" s="115">
        <v>2</v>
      </c>
      <c r="C1413" s="61" t="s">
        <v>251</v>
      </c>
      <c r="D1413" s="61" t="s">
        <v>2063</v>
      </c>
      <c r="E1413" s="77" t="s">
        <v>1651</v>
      </c>
      <c r="F1413" s="61" t="s">
        <v>2182</v>
      </c>
      <c r="G1413" s="61" t="s">
        <v>574</v>
      </c>
      <c r="H1413" s="61" t="s">
        <v>575</v>
      </c>
      <c r="I1413" s="75" t="s">
        <v>2443</v>
      </c>
      <c r="J1413" s="63"/>
      <c r="K1413" s="84">
        <v>0</v>
      </c>
      <c r="L1413" s="85" t="s">
        <v>605</v>
      </c>
      <c r="M1413" s="61" t="s">
        <v>153</v>
      </c>
      <c r="N1413" t="s">
        <v>74</v>
      </c>
    </row>
    <row r="1414" spans="1:14" x14ac:dyDescent="0.25">
      <c r="A1414" t="s">
        <v>77</v>
      </c>
      <c r="B1414" s="115">
        <v>4</v>
      </c>
      <c r="C1414" s="61" t="s">
        <v>252</v>
      </c>
      <c r="D1414" s="61" t="s">
        <v>2073</v>
      </c>
      <c r="E1414" s="77" t="s">
        <v>1652</v>
      </c>
      <c r="F1414" s="61" t="s">
        <v>2261</v>
      </c>
      <c r="G1414" s="61" t="s">
        <v>576</v>
      </c>
      <c r="H1414" s="61" t="s">
        <v>577</v>
      </c>
      <c r="I1414" s="75" t="s">
        <v>2444</v>
      </c>
      <c r="J1414" s="63"/>
      <c r="K1414" s="84">
        <v>0</v>
      </c>
      <c r="L1414" s="85">
        <v>2</v>
      </c>
      <c r="M1414" s="61" t="s">
        <v>249</v>
      </c>
      <c r="N1414" t="s">
        <v>74</v>
      </c>
    </row>
    <row r="1415" spans="1:14" x14ac:dyDescent="0.25">
      <c r="A1415" t="s">
        <v>77</v>
      </c>
      <c r="B1415" s="115">
        <v>5</v>
      </c>
      <c r="C1415" s="61" t="s">
        <v>253</v>
      </c>
      <c r="D1415" s="61" t="s">
        <v>6597</v>
      </c>
      <c r="E1415" s="77" t="s">
        <v>1653</v>
      </c>
      <c r="F1415" s="61" t="s">
        <v>2263</v>
      </c>
      <c r="G1415" s="61" t="s">
        <v>578</v>
      </c>
      <c r="H1415" s="61" t="s">
        <v>579</v>
      </c>
      <c r="I1415" s="75" t="s">
        <v>2445</v>
      </c>
      <c r="J1415" s="63"/>
      <c r="K1415" s="84">
        <v>0</v>
      </c>
      <c r="L1415" s="85">
        <v>2</v>
      </c>
      <c r="M1415" s="61" t="s">
        <v>235</v>
      </c>
      <c r="N1415" t="s">
        <v>74</v>
      </c>
    </row>
    <row r="1416" spans="1:14" x14ac:dyDescent="0.25">
      <c r="A1416" t="s">
        <v>77</v>
      </c>
      <c r="B1416" s="115">
        <v>6</v>
      </c>
      <c r="C1416" s="61" t="s">
        <v>254</v>
      </c>
      <c r="D1416" s="61" t="s">
        <v>6598</v>
      </c>
      <c r="E1416" s="77" t="s">
        <v>1654</v>
      </c>
      <c r="F1416" s="61" t="s">
        <v>2262</v>
      </c>
      <c r="G1416" s="61" t="s">
        <v>580</v>
      </c>
      <c r="H1416" s="61" t="s">
        <v>581</v>
      </c>
      <c r="I1416" s="75" t="s">
        <v>2446</v>
      </c>
      <c r="J1416" s="63"/>
      <c r="K1416" s="84">
        <v>0</v>
      </c>
      <c r="L1416" s="85">
        <v>2</v>
      </c>
      <c r="M1416" s="61" t="s">
        <v>235</v>
      </c>
      <c r="N1416" t="s">
        <v>74</v>
      </c>
    </row>
    <row r="1417" spans="1:14" x14ac:dyDescent="0.25">
      <c r="A1417" t="s">
        <v>77</v>
      </c>
      <c r="B1417" s="115">
        <v>7</v>
      </c>
      <c r="C1417" s="61" t="s">
        <v>255</v>
      </c>
      <c r="D1417" s="61" t="s">
        <v>1910</v>
      </c>
      <c r="E1417" s="77" t="s">
        <v>1655</v>
      </c>
      <c r="F1417" s="61" t="s">
        <v>2264</v>
      </c>
      <c r="G1417" s="61" t="s">
        <v>582</v>
      </c>
      <c r="H1417" s="61" t="s">
        <v>583</v>
      </c>
      <c r="I1417" s="75" t="s">
        <v>2447</v>
      </c>
      <c r="J1417" s="63"/>
      <c r="K1417" s="84">
        <v>0</v>
      </c>
      <c r="L1417" s="85">
        <v>2</v>
      </c>
      <c r="M1417" s="61" t="s">
        <v>165</v>
      </c>
      <c r="N1417" t="s">
        <v>74</v>
      </c>
    </row>
    <row r="1418" spans="1:14" x14ac:dyDescent="0.25">
      <c r="A1418" t="s">
        <v>77</v>
      </c>
      <c r="B1418" s="115">
        <v>8</v>
      </c>
      <c r="C1418" s="61" t="s">
        <v>256</v>
      </c>
      <c r="D1418" s="61" t="s">
        <v>1911</v>
      </c>
      <c r="E1418" s="77" t="s">
        <v>1656</v>
      </c>
      <c r="F1418" s="61" t="s">
        <v>2265</v>
      </c>
      <c r="G1418" s="61" t="s">
        <v>584</v>
      </c>
      <c r="H1418" s="61" t="s">
        <v>585</v>
      </c>
      <c r="I1418" s="75" t="s">
        <v>2448</v>
      </c>
      <c r="J1418" s="63"/>
      <c r="K1418" s="84">
        <v>0</v>
      </c>
      <c r="L1418" s="85">
        <v>1</v>
      </c>
      <c r="M1418" s="61" t="s">
        <v>250</v>
      </c>
      <c r="N1418" t="s">
        <v>74</v>
      </c>
    </row>
    <row r="1419" spans="1:14" x14ac:dyDescent="0.25">
      <c r="A1419" t="s">
        <v>77</v>
      </c>
      <c r="B1419" s="114">
        <v>9</v>
      </c>
      <c r="C1419" t="s">
        <v>4118</v>
      </c>
      <c r="D1419" s="91" t="s">
        <v>6505</v>
      </c>
      <c r="G1419" t="s">
        <v>5032</v>
      </c>
      <c r="H1419" t="s">
        <v>5033</v>
      </c>
      <c r="L1419" s="13">
        <v>1</v>
      </c>
      <c r="M1419" t="s">
        <v>6341</v>
      </c>
      <c r="N1419" t="s">
        <v>74</v>
      </c>
    </row>
    <row r="1420" spans="1:14" x14ac:dyDescent="0.25">
      <c r="A1420" t="s">
        <v>77</v>
      </c>
      <c r="B1420" s="115">
        <v>9</v>
      </c>
      <c r="C1420" s="61" t="s">
        <v>257</v>
      </c>
      <c r="D1420" s="61" t="s">
        <v>1913</v>
      </c>
      <c r="E1420" s="77" t="s">
        <v>1657</v>
      </c>
      <c r="F1420" s="61" t="s">
        <v>2266</v>
      </c>
      <c r="G1420" s="61" t="s">
        <v>586</v>
      </c>
      <c r="H1420" s="61" t="s">
        <v>587</v>
      </c>
      <c r="I1420" s="75" t="s">
        <v>2449</v>
      </c>
      <c r="J1420" s="63"/>
      <c r="K1420" s="84">
        <v>0</v>
      </c>
      <c r="L1420" s="85">
        <v>1</v>
      </c>
      <c r="M1420" s="61" t="s">
        <v>235</v>
      </c>
      <c r="N1420" t="s">
        <v>74</v>
      </c>
    </row>
    <row r="1421" spans="1:14" x14ac:dyDescent="0.25">
      <c r="A1421" t="s">
        <v>77</v>
      </c>
      <c r="B1421" s="114">
        <v>10</v>
      </c>
      <c r="C1421" t="s">
        <v>4119</v>
      </c>
      <c r="D1421" s="91" t="s">
        <v>6583</v>
      </c>
      <c r="G1421" t="s">
        <v>5034</v>
      </c>
      <c r="H1421" t="s">
        <v>5035</v>
      </c>
      <c r="L1421" s="13">
        <v>0</v>
      </c>
      <c r="M1421" t="s">
        <v>6343</v>
      </c>
      <c r="N1421" t="s">
        <v>74</v>
      </c>
    </row>
    <row r="1422" spans="1:14" x14ac:dyDescent="0.25">
      <c r="A1422" t="s">
        <v>77</v>
      </c>
      <c r="B1422" s="114">
        <v>11</v>
      </c>
      <c r="C1422" t="s">
        <v>4120</v>
      </c>
      <c r="D1422" s="91" t="s">
        <v>5037</v>
      </c>
      <c r="G1422" t="s">
        <v>5036</v>
      </c>
      <c r="H1422" t="s">
        <v>5037</v>
      </c>
      <c r="L1422" s="13">
        <v>0</v>
      </c>
      <c r="M1422" t="s">
        <v>100</v>
      </c>
      <c r="N1422" t="s">
        <v>74</v>
      </c>
    </row>
    <row r="1423" spans="1:14" x14ac:dyDescent="0.25">
      <c r="A1423" t="s">
        <v>77</v>
      </c>
      <c r="B1423" s="114">
        <v>13</v>
      </c>
      <c r="C1423" t="s">
        <v>4121</v>
      </c>
      <c r="D1423" s="91" t="s">
        <v>6586</v>
      </c>
      <c r="G1423" t="s">
        <v>5038</v>
      </c>
      <c r="H1423" t="s">
        <v>5039</v>
      </c>
      <c r="L1423" s="13">
        <v>0</v>
      </c>
      <c r="M1423" t="s">
        <v>6347</v>
      </c>
      <c r="N1423" t="s">
        <v>74</v>
      </c>
    </row>
    <row r="1424" spans="1:14" x14ac:dyDescent="0.25">
      <c r="A1424" t="s">
        <v>77</v>
      </c>
      <c r="B1424" s="114">
        <v>14</v>
      </c>
      <c r="C1424" t="s">
        <v>4122</v>
      </c>
      <c r="D1424" s="91" t="s">
        <v>6584</v>
      </c>
      <c r="G1424" t="s">
        <v>5040</v>
      </c>
      <c r="H1424" t="s">
        <v>5041</v>
      </c>
      <c r="L1424" s="13">
        <v>0</v>
      </c>
      <c r="M1424" t="s">
        <v>249</v>
      </c>
      <c r="N1424" t="s">
        <v>74</v>
      </c>
    </row>
    <row r="1425" spans="1:14" x14ac:dyDescent="0.25">
      <c r="A1425" t="s">
        <v>77</v>
      </c>
      <c r="B1425" s="114">
        <v>15</v>
      </c>
      <c r="C1425" t="s">
        <v>4123</v>
      </c>
      <c r="D1425" s="91" t="s">
        <v>6585</v>
      </c>
      <c r="G1425" t="s">
        <v>5042</v>
      </c>
      <c r="H1425" t="s">
        <v>5043</v>
      </c>
      <c r="L1425" s="13">
        <v>0</v>
      </c>
      <c r="M1425" t="s">
        <v>6348</v>
      </c>
      <c r="N1425" t="s">
        <v>74</v>
      </c>
    </row>
    <row r="1426" spans="1:14" x14ac:dyDescent="0.25">
      <c r="A1426" t="s">
        <v>77</v>
      </c>
      <c r="B1426" s="114">
        <v>16</v>
      </c>
      <c r="C1426" t="s">
        <v>4124</v>
      </c>
      <c r="D1426" s="91" t="s">
        <v>6587</v>
      </c>
      <c r="G1426" t="s">
        <v>5044</v>
      </c>
      <c r="H1426" t="s">
        <v>5045</v>
      </c>
      <c r="L1426" s="13">
        <v>0</v>
      </c>
      <c r="M1426" t="s">
        <v>235</v>
      </c>
      <c r="N1426" t="s">
        <v>74</v>
      </c>
    </row>
    <row r="1427" spans="1:14" x14ac:dyDescent="0.25">
      <c r="A1427" t="s">
        <v>77</v>
      </c>
      <c r="B1427" s="114">
        <v>17</v>
      </c>
      <c r="C1427" t="s">
        <v>4125</v>
      </c>
      <c r="D1427" s="91" t="s">
        <v>6588</v>
      </c>
      <c r="G1427" t="s">
        <v>5046</v>
      </c>
      <c r="H1427" t="s">
        <v>5047</v>
      </c>
      <c r="L1427" s="13">
        <v>0</v>
      </c>
      <c r="M1427" t="s">
        <v>6349</v>
      </c>
      <c r="N1427" t="s">
        <v>74</v>
      </c>
    </row>
    <row r="1428" spans="1:14" x14ac:dyDescent="0.25">
      <c r="A1428" t="s">
        <v>77</v>
      </c>
      <c r="B1428" s="114">
        <v>17</v>
      </c>
      <c r="C1428" t="s">
        <v>4126</v>
      </c>
      <c r="D1428" s="91" t="s">
        <v>6589</v>
      </c>
      <c r="G1428" t="s">
        <v>5048</v>
      </c>
      <c r="H1428" t="s">
        <v>5049</v>
      </c>
      <c r="L1428" s="13">
        <v>0</v>
      </c>
      <c r="M1428" t="s">
        <v>6349</v>
      </c>
      <c r="N1428" t="s">
        <v>74</v>
      </c>
    </row>
    <row r="1429" spans="1:14" x14ac:dyDescent="0.25">
      <c r="A1429" t="s">
        <v>77</v>
      </c>
      <c r="B1429" s="114">
        <v>19</v>
      </c>
      <c r="C1429" t="s">
        <v>4127</v>
      </c>
      <c r="D1429" s="91" t="s">
        <v>6590</v>
      </c>
      <c r="G1429" t="s">
        <v>5050</v>
      </c>
      <c r="H1429" t="s">
        <v>5051</v>
      </c>
      <c r="L1429" s="13">
        <v>0</v>
      </c>
      <c r="M1429" t="s">
        <v>235</v>
      </c>
      <c r="N1429" t="s">
        <v>74</v>
      </c>
    </row>
    <row r="1430" spans="1:14" x14ac:dyDescent="0.25">
      <c r="A1430" t="s">
        <v>77</v>
      </c>
      <c r="B1430" s="114">
        <v>21</v>
      </c>
      <c r="C1430" t="s">
        <v>4128</v>
      </c>
      <c r="D1430" s="91" t="s">
        <v>6591</v>
      </c>
      <c r="G1430" t="s">
        <v>5052</v>
      </c>
      <c r="H1430" t="s">
        <v>5053</v>
      </c>
      <c r="L1430" s="13">
        <v>0</v>
      </c>
      <c r="M1430" t="s">
        <v>3022</v>
      </c>
      <c r="N1430" t="s">
        <v>74</v>
      </c>
    </row>
    <row r="1431" spans="1:14" x14ac:dyDescent="0.25">
      <c r="A1431" t="s">
        <v>77</v>
      </c>
      <c r="B1431" s="114">
        <v>22</v>
      </c>
      <c r="C1431" t="s">
        <v>4129</v>
      </c>
      <c r="D1431" s="91" t="s">
        <v>6592</v>
      </c>
      <c r="G1431" t="s">
        <v>5054</v>
      </c>
      <c r="H1431" t="s">
        <v>5055</v>
      </c>
      <c r="L1431" s="13">
        <v>0</v>
      </c>
      <c r="M1431" t="s">
        <v>3022</v>
      </c>
      <c r="N1431" t="s">
        <v>74</v>
      </c>
    </row>
    <row r="1432" spans="1:14" x14ac:dyDescent="0.25">
      <c r="A1432" t="s">
        <v>77</v>
      </c>
      <c r="B1432" s="114">
        <v>23</v>
      </c>
      <c r="C1432" t="s">
        <v>4130</v>
      </c>
      <c r="D1432" s="91" t="s">
        <v>6593</v>
      </c>
      <c r="G1432" t="s">
        <v>5056</v>
      </c>
      <c r="H1432" t="s">
        <v>5057</v>
      </c>
      <c r="L1432" s="13">
        <v>0</v>
      </c>
      <c r="M1432" t="s">
        <v>3022</v>
      </c>
      <c r="N1432" t="s">
        <v>74</v>
      </c>
    </row>
    <row r="1433" spans="1:14" x14ac:dyDescent="0.25">
      <c r="A1433" t="s">
        <v>77</v>
      </c>
      <c r="B1433" s="114">
        <v>30</v>
      </c>
      <c r="C1433" t="s">
        <v>4131</v>
      </c>
      <c r="D1433" s="91" t="s">
        <v>6594</v>
      </c>
      <c r="G1433" t="s">
        <v>5058</v>
      </c>
      <c r="H1433" t="s">
        <v>5059</v>
      </c>
      <c r="L1433" s="13">
        <v>0</v>
      </c>
      <c r="M1433" t="s">
        <v>3011</v>
      </c>
      <c r="N1433" t="s">
        <v>74</v>
      </c>
    </row>
    <row r="1434" spans="1:14" x14ac:dyDescent="0.25">
      <c r="A1434" t="s">
        <v>77</v>
      </c>
      <c r="B1434" s="114">
        <v>50</v>
      </c>
      <c r="C1434" t="s">
        <v>4132</v>
      </c>
      <c r="D1434" s="91" t="s">
        <v>6595</v>
      </c>
      <c r="G1434" t="s">
        <v>5060</v>
      </c>
      <c r="H1434" t="s">
        <v>5061</v>
      </c>
      <c r="J1434" t="s">
        <v>3442</v>
      </c>
      <c r="L1434" s="13">
        <v>0</v>
      </c>
      <c r="M1434" t="s">
        <v>92</v>
      </c>
      <c r="N1434" t="s">
        <v>74</v>
      </c>
    </row>
    <row r="1435" spans="1:14" x14ac:dyDescent="0.25">
      <c r="A1435" t="s">
        <v>77</v>
      </c>
      <c r="B1435" s="114"/>
      <c r="C1435" t="s">
        <v>4135</v>
      </c>
      <c r="D1435" s="91" t="s">
        <v>6599</v>
      </c>
      <c r="G1435" t="s">
        <v>5066</v>
      </c>
      <c r="H1435" t="s">
        <v>5067</v>
      </c>
      <c r="L1435" s="13">
        <v>0</v>
      </c>
      <c r="M1435" t="s">
        <v>195</v>
      </c>
      <c r="N1435" t="s">
        <v>74</v>
      </c>
    </row>
    <row r="1436" spans="1:14" x14ac:dyDescent="0.25">
      <c r="A1436" t="s">
        <v>77</v>
      </c>
      <c r="B1436" s="114"/>
      <c r="C1436" t="s">
        <v>4134</v>
      </c>
      <c r="D1436" s="91" t="s">
        <v>6600</v>
      </c>
      <c r="G1436" t="s">
        <v>5064</v>
      </c>
      <c r="H1436" t="s">
        <v>5065</v>
      </c>
      <c r="L1436" s="13">
        <v>0</v>
      </c>
      <c r="M1436" t="s">
        <v>195</v>
      </c>
      <c r="N1436" t="s">
        <v>74</v>
      </c>
    </row>
    <row r="1437" spans="1:14" x14ac:dyDescent="0.25">
      <c r="A1437" t="s">
        <v>77</v>
      </c>
      <c r="B1437" s="114"/>
      <c r="C1437" t="s">
        <v>4133</v>
      </c>
      <c r="D1437" s="91" t="s">
        <v>6601</v>
      </c>
      <c r="G1437" t="s">
        <v>5062</v>
      </c>
      <c r="H1437" t="s">
        <v>5063</v>
      </c>
      <c r="L1437" s="13">
        <v>0</v>
      </c>
      <c r="M1437" t="s">
        <v>195</v>
      </c>
      <c r="N1437" t="s">
        <v>74</v>
      </c>
    </row>
    <row r="1438" spans="1:14" x14ac:dyDescent="0.25">
      <c r="A1438" t="s">
        <v>77</v>
      </c>
      <c r="B1438" s="114"/>
      <c r="C1438" t="s">
        <v>4136</v>
      </c>
      <c r="D1438" s="61" t="s">
        <v>6602</v>
      </c>
      <c r="G1438" t="s">
        <v>5068</v>
      </c>
      <c r="H1438" t="s">
        <v>5069</v>
      </c>
      <c r="L1438" s="13">
        <v>0</v>
      </c>
      <c r="M1438" t="s">
        <v>235</v>
      </c>
      <c r="N1438" t="s">
        <v>74</v>
      </c>
    </row>
    <row r="1439" spans="1:14" x14ac:dyDescent="0.25">
      <c r="A1439" t="s">
        <v>77</v>
      </c>
      <c r="B1439" s="114"/>
      <c r="C1439" t="s">
        <v>4138</v>
      </c>
      <c r="D1439" s="62" t="s">
        <v>6603</v>
      </c>
      <c r="G1439" t="s">
        <v>5072</v>
      </c>
      <c r="H1439" t="s">
        <v>5073</v>
      </c>
      <c r="L1439" s="13">
        <v>0</v>
      </c>
      <c r="M1439" t="s">
        <v>235</v>
      </c>
      <c r="N1439" t="s">
        <v>74</v>
      </c>
    </row>
    <row r="1440" spans="1:14" x14ac:dyDescent="0.25">
      <c r="A1440" t="s">
        <v>77</v>
      </c>
      <c r="B1440" s="114"/>
      <c r="C1440" s="37" t="s">
        <v>4137</v>
      </c>
      <c r="D1440" s="61" t="s">
        <v>6604</v>
      </c>
      <c r="G1440" t="s">
        <v>5070</v>
      </c>
      <c r="H1440" t="s">
        <v>5071</v>
      </c>
      <c r="L1440" s="13">
        <v>0</v>
      </c>
      <c r="M1440" t="s">
        <v>235</v>
      </c>
      <c r="N1440" t="s">
        <v>74</v>
      </c>
    </row>
    <row r="1441" spans="1:14" x14ac:dyDescent="0.25">
      <c r="A1441" t="s">
        <v>77</v>
      </c>
      <c r="B1441" s="114"/>
      <c r="C1441" s="37" t="s">
        <v>4139</v>
      </c>
      <c r="D1441" s="61" t="s">
        <v>6604</v>
      </c>
      <c r="G1441" t="s">
        <v>5074</v>
      </c>
      <c r="H1441" t="s">
        <v>5075</v>
      </c>
      <c r="L1441" s="13">
        <v>0</v>
      </c>
      <c r="M1441" t="s">
        <v>235</v>
      </c>
      <c r="N1441" t="s">
        <v>74</v>
      </c>
    </row>
    <row r="1442" spans="1:14" x14ac:dyDescent="0.25">
      <c r="A1442" t="s">
        <v>77</v>
      </c>
      <c r="B1442" s="114"/>
      <c r="C1442" t="s">
        <v>4142</v>
      </c>
      <c r="D1442" s="91" t="s">
        <v>6605</v>
      </c>
      <c r="G1442" t="s">
        <v>5080</v>
      </c>
      <c r="H1442" t="s">
        <v>5081</v>
      </c>
      <c r="L1442" s="13">
        <v>0</v>
      </c>
      <c r="M1442" t="s">
        <v>6350</v>
      </c>
      <c r="N1442" t="s">
        <v>74</v>
      </c>
    </row>
    <row r="1443" spans="1:14" x14ac:dyDescent="0.25">
      <c r="A1443" s="143" t="s">
        <v>77</v>
      </c>
      <c r="C1443" t="s">
        <v>3004</v>
      </c>
      <c r="G1443" t="s">
        <v>6931</v>
      </c>
      <c r="H1443" t="s">
        <v>6932</v>
      </c>
      <c r="M1443" t="s">
        <v>3004</v>
      </c>
      <c r="N1443" t="s">
        <v>74</v>
      </c>
    </row>
    <row r="1444" spans="1:14" x14ac:dyDescent="0.25">
      <c r="A1444" t="s">
        <v>73</v>
      </c>
      <c r="B1444" s="114">
        <v>0</v>
      </c>
      <c r="C1444" t="s">
        <v>4076</v>
      </c>
      <c r="D1444" s="91"/>
      <c r="G1444" t="s">
        <v>4950</v>
      </c>
      <c r="H1444" t="s">
        <v>4951</v>
      </c>
      <c r="L1444" s="13" t="s">
        <v>605</v>
      </c>
      <c r="M1444" t="s">
        <v>100</v>
      </c>
      <c r="N1444" t="s">
        <v>74</v>
      </c>
    </row>
    <row r="1445" spans="1:14" x14ac:dyDescent="0.25">
      <c r="A1445" t="s">
        <v>73</v>
      </c>
      <c r="B1445" s="114">
        <v>0</v>
      </c>
      <c r="C1445" s="37" t="s">
        <v>6495</v>
      </c>
      <c r="D1445" s="37"/>
      <c r="G1445" t="s">
        <v>4950</v>
      </c>
      <c r="H1445" t="s">
        <v>4951</v>
      </c>
      <c r="L1445" s="13" t="s">
        <v>605</v>
      </c>
      <c r="M1445" t="s">
        <v>100</v>
      </c>
      <c r="N1445" t="s">
        <v>74</v>
      </c>
    </row>
    <row r="1446" spans="1:14" x14ac:dyDescent="0.25">
      <c r="A1446" t="s">
        <v>73</v>
      </c>
      <c r="B1446" s="114">
        <v>1</v>
      </c>
      <c r="C1446" t="s">
        <v>4098</v>
      </c>
      <c r="D1446" s="61" t="s">
        <v>6607</v>
      </c>
      <c r="G1446" t="s">
        <v>4992</v>
      </c>
      <c r="H1446" t="s">
        <v>4993</v>
      </c>
      <c r="L1446" s="13">
        <v>0</v>
      </c>
      <c r="M1446" t="s">
        <v>249</v>
      </c>
      <c r="N1446" t="s">
        <v>74</v>
      </c>
    </row>
    <row r="1447" spans="1:14" x14ac:dyDescent="0.25">
      <c r="A1447" t="s">
        <v>73</v>
      </c>
      <c r="B1447" s="114">
        <v>1</v>
      </c>
      <c r="C1447" s="37" t="s">
        <v>4077</v>
      </c>
      <c r="D1447" s="93" t="s">
        <v>6606</v>
      </c>
      <c r="G1447" t="s">
        <v>550</v>
      </c>
      <c r="H1447" t="s">
        <v>551</v>
      </c>
      <c r="L1447" s="13" t="s">
        <v>605</v>
      </c>
      <c r="M1447" t="s">
        <v>91</v>
      </c>
      <c r="N1447" t="s">
        <v>74</v>
      </c>
    </row>
    <row r="1448" spans="1:14" x14ac:dyDescent="0.25">
      <c r="A1448" t="s">
        <v>73</v>
      </c>
      <c r="B1448" s="114">
        <v>1</v>
      </c>
      <c r="C1448" t="s">
        <v>236</v>
      </c>
      <c r="D1448" s="91" t="s">
        <v>1943</v>
      </c>
      <c r="E1448" s="77" t="s">
        <v>1638</v>
      </c>
      <c r="F1448" s="61" t="s">
        <v>2177</v>
      </c>
      <c r="G1448" s="61" t="s">
        <v>550</v>
      </c>
      <c r="H1448" s="61" t="s">
        <v>551</v>
      </c>
      <c r="I1448" s="75" t="s">
        <v>2432</v>
      </c>
      <c r="J1448" s="63"/>
      <c r="K1448" s="84">
        <v>0</v>
      </c>
      <c r="L1448" s="85" t="s">
        <v>605</v>
      </c>
      <c r="M1448" t="s">
        <v>100</v>
      </c>
      <c r="N1448" t="s">
        <v>74</v>
      </c>
    </row>
    <row r="1449" spans="1:14" x14ac:dyDescent="0.25">
      <c r="A1449" t="s">
        <v>73</v>
      </c>
      <c r="B1449" s="114">
        <v>2</v>
      </c>
      <c r="C1449" t="s">
        <v>4099</v>
      </c>
      <c r="D1449" s="61" t="s">
        <v>6608</v>
      </c>
      <c r="G1449" t="s">
        <v>4994</v>
      </c>
      <c r="H1449" t="s">
        <v>4995</v>
      </c>
      <c r="L1449" s="13">
        <v>0</v>
      </c>
      <c r="M1449" t="s">
        <v>249</v>
      </c>
      <c r="N1449" t="s">
        <v>74</v>
      </c>
    </row>
    <row r="1450" spans="1:14" x14ac:dyDescent="0.25">
      <c r="A1450" t="s">
        <v>73</v>
      </c>
      <c r="B1450" s="114">
        <v>2</v>
      </c>
      <c r="C1450" t="s">
        <v>237</v>
      </c>
      <c r="D1450" s="63" t="s">
        <v>553</v>
      </c>
      <c r="E1450" s="77" t="s">
        <v>1639</v>
      </c>
      <c r="F1450" s="61" t="s">
        <v>2251</v>
      </c>
      <c r="G1450" s="61" t="s">
        <v>552</v>
      </c>
      <c r="H1450" s="61" t="s">
        <v>553</v>
      </c>
      <c r="I1450" s="75" t="s">
        <v>2433</v>
      </c>
      <c r="J1450" s="63"/>
      <c r="K1450" s="84">
        <v>0</v>
      </c>
      <c r="L1450" s="84" t="s">
        <v>605</v>
      </c>
      <c r="M1450" t="s">
        <v>91</v>
      </c>
      <c r="N1450" t="s">
        <v>74</v>
      </c>
    </row>
    <row r="1451" spans="1:14" x14ac:dyDescent="0.25">
      <c r="A1451" t="s">
        <v>73</v>
      </c>
      <c r="B1451" s="114">
        <v>2</v>
      </c>
      <c r="C1451" t="s">
        <v>238</v>
      </c>
      <c r="D1451" s="63" t="s">
        <v>1944</v>
      </c>
      <c r="E1451" s="77" t="s">
        <v>1640</v>
      </c>
      <c r="F1451" s="61" t="s">
        <v>2252</v>
      </c>
      <c r="G1451" s="61" t="s">
        <v>554</v>
      </c>
      <c r="H1451" s="61" t="s">
        <v>555</v>
      </c>
      <c r="I1451" s="75" t="s">
        <v>2434</v>
      </c>
      <c r="J1451" s="63"/>
      <c r="K1451" s="84">
        <v>0</v>
      </c>
      <c r="L1451" s="85">
        <v>0</v>
      </c>
      <c r="M1451" t="s">
        <v>91</v>
      </c>
      <c r="N1451" t="s">
        <v>74</v>
      </c>
    </row>
    <row r="1452" spans="1:14" x14ac:dyDescent="0.25">
      <c r="A1452" t="s">
        <v>73</v>
      </c>
      <c r="B1452" s="114">
        <v>3</v>
      </c>
      <c r="C1452" t="s">
        <v>4100</v>
      </c>
      <c r="D1452" s="61" t="s">
        <v>6610</v>
      </c>
      <c r="G1452" t="s">
        <v>4996</v>
      </c>
      <c r="H1452" t="s">
        <v>4997</v>
      </c>
      <c r="L1452" s="13">
        <v>0</v>
      </c>
      <c r="M1452" t="s">
        <v>249</v>
      </c>
      <c r="N1452" t="s">
        <v>74</v>
      </c>
    </row>
    <row r="1453" spans="1:14" x14ac:dyDescent="0.25">
      <c r="A1453" t="s">
        <v>73</v>
      </c>
      <c r="B1453" s="114">
        <v>3</v>
      </c>
      <c r="C1453" t="s">
        <v>239</v>
      </c>
      <c r="D1453" s="63" t="s">
        <v>1936</v>
      </c>
      <c r="E1453" s="77" t="s">
        <v>1641</v>
      </c>
      <c r="F1453" s="61" t="s">
        <v>2171</v>
      </c>
      <c r="G1453" s="61" t="s">
        <v>556</v>
      </c>
      <c r="H1453" s="61" t="s">
        <v>497</v>
      </c>
      <c r="I1453" s="75" t="s">
        <v>2409</v>
      </c>
      <c r="J1453" s="63"/>
      <c r="K1453" s="84">
        <v>0</v>
      </c>
      <c r="L1453" s="85">
        <v>0</v>
      </c>
      <c r="M1453" t="s">
        <v>91</v>
      </c>
      <c r="N1453" t="s">
        <v>74</v>
      </c>
    </row>
    <row r="1454" spans="1:14" x14ac:dyDescent="0.25">
      <c r="A1454" t="s">
        <v>73</v>
      </c>
      <c r="B1454" s="114">
        <v>4</v>
      </c>
      <c r="C1454" t="s">
        <v>4101</v>
      </c>
      <c r="D1454" s="61" t="s">
        <v>6611</v>
      </c>
      <c r="G1454" t="s">
        <v>4998</v>
      </c>
      <c r="H1454" t="s">
        <v>4999</v>
      </c>
      <c r="L1454" s="13">
        <v>0</v>
      </c>
      <c r="M1454" t="s">
        <v>249</v>
      </c>
      <c r="N1454" t="s">
        <v>74</v>
      </c>
    </row>
    <row r="1455" spans="1:14" x14ac:dyDescent="0.25">
      <c r="A1455" t="s">
        <v>73</v>
      </c>
      <c r="B1455" s="114">
        <v>4</v>
      </c>
      <c r="C1455" t="s">
        <v>240</v>
      </c>
      <c r="D1455" s="63" t="s">
        <v>3798</v>
      </c>
      <c r="E1455" s="77" t="s">
        <v>1642</v>
      </c>
      <c r="F1455" s="61" t="s">
        <v>1937</v>
      </c>
      <c r="G1455" s="61" t="s">
        <v>557</v>
      </c>
      <c r="H1455" s="61" t="s">
        <v>499</v>
      </c>
      <c r="I1455" s="75" t="s">
        <v>2410</v>
      </c>
      <c r="J1455" s="63"/>
      <c r="K1455" s="84">
        <v>0</v>
      </c>
      <c r="L1455" s="85">
        <v>0</v>
      </c>
      <c r="M1455" t="s">
        <v>91</v>
      </c>
      <c r="N1455" t="s">
        <v>74</v>
      </c>
    </row>
    <row r="1456" spans="1:14" x14ac:dyDescent="0.25">
      <c r="A1456" t="s">
        <v>73</v>
      </c>
      <c r="B1456" s="114">
        <v>5</v>
      </c>
      <c r="C1456" t="s">
        <v>4102</v>
      </c>
      <c r="D1456" s="61" t="s">
        <v>6609</v>
      </c>
      <c r="G1456" t="s">
        <v>5000</v>
      </c>
      <c r="H1456" t="s">
        <v>5001</v>
      </c>
      <c r="L1456" s="13">
        <v>0</v>
      </c>
      <c r="M1456" t="s">
        <v>249</v>
      </c>
      <c r="N1456" t="s">
        <v>74</v>
      </c>
    </row>
    <row r="1457" spans="1:14" x14ac:dyDescent="0.25">
      <c r="A1457" t="s">
        <v>73</v>
      </c>
      <c r="B1457" s="114">
        <v>5</v>
      </c>
      <c r="C1457" t="s">
        <v>241</v>
      </c>
      <c r="D1457" s="63" t="s">
        <v>1945</v>
      </c>
      <c r="E1457" s="77" t="s">
        <v>1643</v>
      </c>
      <c r="F1457" s="61" t="s">
        <v>2172</v>
      </c>
      <c r="G1457" s="61" t="s">
        <v>558</v>
      </c>
      <c r="H1457" s="61" t="s">
        <v>501</v>
      </c>
      <c r="I1457" s="75" t="s">
        <v>2411</v>
      </c>
      <c r="J1457" s="63"/>
      <c r="K1457" s="84">
        <v>0</v>
      </c>
      <c r="L1457" s="85">
        <v>0</v>
      </c>
      <c r="M1457" t="s">
        <v>91</v>
      </c>
      <c r="N1457" t="s">
        <v>74</v>
      </c>
    </row>
    <row r="1458" spans="1:14" x14ac:dyDescent="0.25">
      <c r="A1458" t="s">
        <v>73</v>
      </c>
      <c r="B1458" s="114">
        <v>6</v>
      </c>
      <c r="C1458" t="s">
        <v>4103</v>
      </c>
      <c r="D1458" s="61" t="s">
        <v>5003</v>
      </c>
      <c r="G1458" t="s">
        <v>5002</v>
      </c>
      <c r="H1458" t="s">
        <v>5003</v>
      </c>
      <c r="L1458" s="13">
        <v>0</v>
      </c>
      <c r="M1458" t="s">
        <v>195</v>
      </c>
      <c r="N1458" t="s">
        <v>74</v>
      </c>
    </row>
    <row r="1459" spans="1:14" x14ac:dyDescent="0.25">
      <c r="A1459" t="s">
        <v>73</v>
      </c>
      <c r="B1459" s="114">
        <v>6</v>
      </c>
      <c r="C1459" t="s">
        <v>242</v>
      </c>
      <c r="D1459" s="63" t="s">
        <v>1939</v>
      </c>
      <c r="E1459" s="77" t="s">
        <v>1644</v>
      </c>
      <c r="F1459" s="61" t="s">
        <v>2289</v>
      </c>
      <c r="G1459" s="61" t="s">
        <v>559</v>
      </c>
      <c r="H1459" s="61" t="s">
        <v>560</v>
      </c>
      <c r="I1459" s="75" t="s">
        <v>2435</v>
      </c>
      <c r="J1459" s="63"/>
      <c r="K1459" s="84">
        <v>0</v>
      </c>
      <c r="L1459" s="85">
        <v>0</v>
      </c>
      <c r="M1459" t="s">
        <v>138</v>
      </c>
      <c r="N1459" t="s">
        <v>74</v>
      </c>
    </row>
    <row r="1460" spans="1:14" x14ac:dyDescent="0.25">
      <c r="A1460" t="s">
        <v>73</v>
      </c>
      <c r="B1460" s="114">
        <v>7</v>
      </c>
      <c r="C1460" t="s">
        <v>243</v>
      </c>
      <c r="D1460" s="63" t="s">
        <v>1940</v>
      </c>
      <c r="E1460" s="77" t="s">
        <v>1645</v>
      </c>
      <c r="F1460" s="61" t="s">
        <v>2290</v>
      </c>
      <c r="G1460" s="61" t="s">
        <v>561</v>
      </c>
      <c r="H1460" s="61" t="s">
        <v>562</v>
      </c>
      <c r="I1460" s="75" t="s">
        <v>2436</v>
      </c>
      <c r="J1460" s="63"/>
      <c r="K1460" s="84">
        <v>0</v>
      </c>
      <c r="L1460" s="85">
        <v>0</v>
      </c>
      <c r="M1460" t="s">
        <v>138</v>
      </c>
      <c r="N1460" t="s">
        <v>74</v>
      </c>
    </row>
    <row r="1461" spans="1:14" x14ac:dyDescent="0.25">
      <c r="A1461" t="s">
        <v>73</v>
      </c>
      <c r="B1461" s="114">
        <v>8</v>
      </c>
      <c r="C1461" t="s">
        <v>244</v>
      </c>
      <c r="D1461" s="63" t="s">
        <v>1941</v>
      </c>
      <c r="E1461" s="77" t="s">
        <v>1646</v>
      </c>
      <c r="F1461" s="61" t="s">
        <v>2291</v>
      </c>
      <c r="G1461" s="61" t="s">
        <v>563</v>
      </c>
      <c r="H1461" s="61" t="s">
        <v>564</v>
      </c>
      <c r="I1461" s="75" t="s">
        <v>2437</v>
      </c>
      <c r="J1461" s="63"/>
      <c r="K1461" s="84">
        <v>0</v>
      </c>
      <c r="L1461" s="85">
        <v>0</v>
      </c>
      <c r="M1461" t="s">
        <v>139</v>
      </c>
      <c r="N1461" t="s">
        <v>74</v>
      </c>
    </row>
    <row r="1462" spans="1:14" x14ac:dyDescent="0.25">
      <c r="A1462" t="s">
        <v>73</v>
      </c>
      <c r="B1462" s="114">
        <v>10</v>
      </c>
      <c r="C1462" t="s">
        <v>4078</v>
      </c>
      <c r="D1462" s="91" t="s">
        <v>6612</v>
      </c>
      <c r="G1462" t="s">
        <v>4952</v>
      </c>
      <c r="H1462" t="s">
        <v>4953</v>
      </c>
      <c r="L1462" s="13">
        <v>0</v>
      </c>
      <c r="M1462" t="s">
        <v>91</v>
      </c>
      <c r="N1462" t="s">
        <v>74</v>
      </c>
    </row>
    <row r="1463" spans="1:14" x14ac:dyDescent="0.25">
      <c r="A1463" t="s">
        <v>73</v>
      </c>
      <c r="B1463" s="114">
        <v>10</v>
      </c>
      <c r="C1463" t="s">
        <v>4080</v>
      </c>
      <c r="D1463" s="91" t="s">
        <v>6614</v>
      </c>
      <c r="G1463" t="s">
        <v>4956</v>
      </c>
      <c r="H1463" t="s">
        <v>4957</v>
      </c>
      <c r="L1463" s="13">
        <v>0</v>
      </c>
      <c r="M1463" t="s">
        <v>153</v>
      </c>
      <c r="N1463" t="s">
        <v>74</v>
      </c>
    </row>
    <row r="1464" spans="1:14" x14ac:dyDescent="0.25">
      <c r="A1464" t="s">
        <v>73</v>
      </c>
      <c r="B1464" s="114">
        <v>10</v>
      </c>
      <c r="C1464" t="s">
        <v>4079</v>
      </c>
      <c r="D1464" s="91" t="s">
        <v>6613</v>
      </c>
      <c r="G1464" t="s">
        <v>4954</v>
      </c>
      <c r="H1464" t="s">
        <v>4955</v>
      </c>
      <c r="L1464" s="13">
        <v>0</v>
      </c>
      <c r="M1464" t="s">
        <v>153</v>
      </c>
      <c r="N1464" t="s">
        <v>74</v>
      </c>
    </row>
    <row r="1465" spans="1:14" x14ac:dyDescent="0.25">
      <c r="A1465" t="s">
        <v>73</v>
      </c>
      <c r="B1465" s="114">
        <v>11</v>
      </c>
      <c r="C1465" t="s">
        <v>4104</v>
      </c>
      <c r="D1465" s="91" t="s">
        <v>6616</v>
      </c>
      <c r="G1465" t="s">
        <v>5004</v>
      </c>
      <c r="H1465" t="s">
        <v>5005</v>
      </c>
      <c r="L1465" s="13">
        <v>0</v>
      </c>
      <c r="M1465" t="s">
        <v>235</v>
      </c>
      <c r="N1465" t="s">
        <v>74</v>
      </c>
    </row>
    <row r="1466" spans="1:14" x14ac:dyDescent="0.25">
      <c r="A1466" t="s">
        <v>73</v>
      </c>
      <c r="B1466" s="114">
        <v>11</v>
      </c>
      <c r="C1466" s="61" t="s">
        <v>245</v>
      </c>
      <c r="D1466" s="91" t="s">
        <v>6615</v>
      </c>
      <c r="E1466" s="77" t="s">
        <v>1647</v>
      </c>
      <c r="F1466" s="61" t="s">
        <v>2253</v>
      </c>
      <c r="G1466" s="61" t="s">
        <v>565</v>
      </c>
      <c r="H1466" s="61" t="s">
        <v>566</v>
      </c>
      <c r="I1466" s="75" t="s">
        <v>2438</v>
      </c>
      <c r="J1466" s="63"/>
      <c r="K1466" s="84">
        <v>0</v>
      </c>
      <c r="L1466" s="85">
        <v>0</v>
      </c>
      <c r="M1466" t="s">
        <v>235</v>
      </c>
      <c r="N1466" t="s">
        <v>74</v>
      </c>
    </row>
    <row r="1467" spans="1:14" x14ac:dyDescent="0.25">
      <c r="A1467" t="s">
        <v>73</v>
      </c>
      <c r="B1467" s="114">
        <v>12</v>
      </c>
      <c r="C1467" t="s">
        <v>4105</v>
      </c>
      <c r="D1467" s="91" t="s">
        <v>6618</v>
      </c>
      <c r="G1467" t="s">
        <v>5006</v>
      </c>
      <c r="H1467" t="s">
        <v>5007</v>
      </c>
      <c r="L1467" s="13">
        <v>0</v>
      </c>
      <c r="M1467" t="s">
        <v>235</v>
      </c>
      <c r="N1467" t="s">
        <v>74</v>
      </c>
    </row>
    <row r="1468" spans="1:14" x14ac:dyDescent="0.25">
      <c r="A1468" t="s">
        <v>73</v>
      </c>
      <c r="B1468" s="114">
        <v>12</v>
      </c>
      <c r="C1468" t="s">
        <v>4081</v>
      </c>
      <c r="D1468" s="91" t="s">
        <v>6617</v>
      </c>
      <c r="G1468" t="s">
        <v>4958</v>
      </c>
      <c r="H1468" t="s">
        <v>4959</v>
      </c>
      <c r="L1468" s="13">
        <v>0</v>
      </c>
      <c r="M1468" t="s">
        <v>235</v>
      </c>
      <c r="N1468" t="s">
        <v>74</v>
      </c>
    </row>
    <row r="1469" spans="1:14" x14ac:dyDescent="0.25">
      <c r="A1469" t="s">
        <v>73</v>
      </c>
      <c r="B1469" s="114">
        <v>13</v>
      </c>
      <c r="C1469" t="s">
        <v>4106</v>
      </c>
      <c r="D1469" s="91" t="s">
        <v>6619</v>
      </c>
      <c r="G1469" t="s">
        <v>5008</v>
      </c>
      <c r="H1469" t="s">
        <v>5009</v>
      </c>
      <c r="L1469" s="13">
        <v>0</v>
      </c>
      <c r="M1469" t="s">
        <v>235</v>
      </c>
      <c r="N1469" t="s">
        <v>74</v>
      </c>
    </row>
    <row r="1470" spans="1:14" x14ac:dyDescent="0.25">
      <c r="A1470" t="s">
        <v>73</v>
      </c>
      <c r="B1470" s="114">
        <v>13</v>
      </c>
      <c r="C1470" t="s">
        <v>246</v>
      </c>
      <c r="D1470" s="63" t="s">
        <v>6620</v>
      </c>
      <c r="E1470" s="77" t="s">
        <v>1648</v>
      </c>
      <c r="F1470" s="61" t="s">
        <v>2259</v>
      </c>
      <c r="G1470" s="61" t="s">
        <v>567</v>
      </c>
      <c r="H1470" s="61" t="s">
        <v>568</v>
      </c>
      <c r="I1470" s="75" t="s">
        <v>2439</v>
      </c>
      <c r="J1470" s="63"/>
      <c r="K1470" s="84">
        <v>0</v>
      </c>
      <c r="L1470" s="85">
        <v>0</v>
      </c>
      <c r="M1470" t="s">
        <v>139</v>
      </c>
      <c r="N1470" t="s">
        <v>74</v>
      </c>
    </row>
    <row r="1471" spans="1:14" x14ac:dyDescent="0.25">
      <c r="A1471" t="s">
        <v>73</v>
      </c>
      <c r="B1471" s="114">
        <v>14</v>
      </c>
      <c r="C1471" t="s">
        <v>247</v>
      </c>
      <c r="D1471" s="63" t="s">
        <v>6494</v>
      </c>
      <c r="E1471" s="77" t="s">
        <v>1649</v>
      </c>
      <c r="F1471" s="61" t="s">
        <v>2260</v>
      </c>
      <c r="G1471" s="61" t="s">
        <v>569</v>
      </c>
      <c r="H1471" s="61" t="s">
        <v>570</v>
      </c>
      <c r="I1471" s="75" t="s">
        <v>2440</v>
      </c>
      <c r="J1471" s="63"/>
      <c r="K1471" s="84">
        <v>0</v>
      </c>
      <c r="L1471" s="85">
        <v>0</v>
      </c>
      <c r="M1471" t="s">
        <v>139</v>
      </c>
      <c r="N1471" t="s">
        <v>74</v>
      </c>
    </row>
    <row r="1472" spans="1:14" x14ac:dyDescent="0.25">
      <c r="A1472" t="s">
        <v>73</v>
      </c>
      <c r="B1472" s="114">
        <v>14</v>
      </c>
      <c r="C1472" t="s">
        <v>4107</v>
      </c>
      <c r="D1472" s="91" t="s">
        <v>6621</v>
      </c>
      <c r="G1472" t="s">
        <v>5010</v>
      </c>
      <c r="H1472" t="s">
        <v>5011</v>
      </c>
      <c r="L1472" s="13">
        <v>0</v>
      </c>
      <c r="M1472" t="s">
        <v>235</v>
      </c>
      <c r="N1472" t="s">
        <v>74</v>
      </c>
    </row>
    <row r="1473" spans="1:14" x14ac:dyDescent="0.25">
      <c r="A1473" t="s">
        <v>73</v>
      </c>
      <c r="B1473" s="114">
        <v>15</v>
      </c>
      <c r="C1473" t="s">
        <v>4082</v>
      </c>
      <c r="D1473" s="93" t="s">
        <v>6622</v>
      </c>
      <c r="G1473" t="s">
        <v>4960</v>
      </c>
      <c r="H1473" t="s">
        <v>4961</v>
      </c>
      <c r="L1473" s="13">
        <v>2</v>
      </c>
      <c r="M1473" t="s">
        <v>139</v>
      </c>
      <c r="N1473" t="s">
        <v>74</v>
      </c>
    </row>
    <row r="1474" spans="1:14" x14ac:dyDescent="0.25">
      <c r="A1474" t="s">
        <v>73</v>
      </c>
      <c r="B1474" s="114">
        <v>15</v>
      </c>
      <c r="C1474" t="s">
        <v>4108</v>
      </c>
      <c r="D1474" s="91" t="s">
        <v>6623</v>
      </c>
      <c r="G1474" t="s">
        <v>5012</v>
      </c>
      <c r="H1474" t="s">
        <v>5013</v>
      </c>
      <c r="L1474" s="13">
        <v>0</v>
      </c>
      <c r="M1474" t="s">
        <v>235</v>
      </c>
      <c r="N1474" t="s">
        <v>74</v>
      </c>
    </row>
    <row r="1475" spans="1:14" x14ac:dyDescent="0.25">
      <c r="A1475" t="s">
        <v>73</v>
      </c>
      <c r="B1475" s="114">
        <v>16</v>
      </c>
      <c r="C1475" t="s">
        <v>4083</v>
      </c>
      <c r="D1475" s="91" t="s">
        <v>6624</v>
      </c>
      <c r="G1475" t="s">
        <v>4962</v>
      </c>
      <c r="H1475" t="s">
        <v>4963</v>
      </c>
      <c r="L1475" s="13">
        <v>0</v>
      </c>
      <c r="M1475" t="s">
        <v>3011</v>
      </c>
      <c r="N1475" t="s">
        <v>74</v>
      </c>
    </row>
    <row r="1476" spans="1:14" x14ac:dyDescent="0.25">
      <c r="A1476" t="s">
        <v>73</v>
      </c>
      <c r="B1476" s="114">
        <v>17</v>
      </c>
      <c r="C1476" t="s">
        <v>4084</v>
      </c>
      <c r="D1476" s="91" t="s">
        <v>6625</v>
      </c>
      <c r="G1476" t="s">
        <v>4964</v>
      </c>
      <c r="H1476" t="s">
        <v>4965</v>
      </c>
      <c r="L1476" s="13">
        <v>0</v>
      </c>
      <c r="M1476" t="s">
        <v>6343</v>
      </c>
      <c r="N1476" t="s">
        <v>74</v>
      </c>
    </row>
    <row r="1477" spans="1:14" x14ac:dyDescent="0.25">
      <c r="A1477" t="s">
        <v>73</v>
      </c>
      <c r="B1477" s="114">
        <v>18</v>
      </c>
      <c r="C1477" t="s">
        <v>4085</v>
      </c>
      <c r="D1477" s="91" t="s">
        <v>6626</v>
      </c>
      <c r="G1477" t="s">
        <v>4966</v>
      </c>
      <c r="H1477" t="s">
        <v>4967</v>
      </c>
      <c r="L1477" s="13">
        <v>0</v>
      </c>
      <c r="M1477" t="s">
        <v>3005</v>
      </c>
      <c r="N1477" t="s">
        <v>74</v>
      </c>
    </row>
    <row r="1478" spans="1:14" x14ac:dyDescent="0.25">
      <c r="A1478" t="s">
        <v>73</v>
      </c>
      <c r="B1478" s="114">
        <v>19</v>
      </c>
      <c r="C1478" t="s">
        <v>4086</v>
      </c>
      <c r="D1478" s="91" t="s">
        <v>6627</v>
      </c>
      <c r="G1478" t="s">
        <v>4968</v>
      </c>
      <c r="H1478" t="s">
        <v>4969</v>
      </c>
      <c r="L1478" s="13">
        <v>0</v>
      </c>
      <c r="M1478" t="s">
        <v>3005</v>
      </c>
      <c r="N1478" t="s">
        <v>74</v>
      </c>
    </row>
    <row r="1479" spans="1:14" x14ac:dyDescent="0.25">
      <c r="A1479" t="s">
        <v>73</v>
      </c>
      <c r="B1479" s="114">
        <v>20</v>
      </c>
      <c r="C1479" t="s">
        <v>4087</v>
      </c>
      <c r="D1479" s="91" t="s">
        <v>6628</v>
      </c>
      <c r="G1479" t="s">
        <v>4970</v>
      </c>
      <c r="H1479" t="s">
        <v>4971</v>
      </c>
      <c r="L1479" s="13">
        <v>0</v>
      </c>
      <c r="M1479" t="s">
        <v>3009</v>
      </c>
      <c r="N1479" t="s">
        <v>74</v>
      </c>
    </row>
    <row r="1480" spans="1:14" x14ac:dyDescent="0.25">
      <c r="A1480" t="s">
        <v>73</v>
      </c>
      <c r="B1480" s="114">
        <v>21</v>
      </c>
      <c r="C1480" t="s">
        <v>4109</v>
      </c>
      <c r="D1480" s="91" t="s">
        <v>6629</v>
      </c>
      <c r="G1480" t="s">
        <v>5014</v>
      </c>
      <c r="H1480" t="s">
        <v>5015</v>
      </c>
      <c r="L1480" s="13">
        <v>0</v>
      </c>
      <c r="M1480" t="s">
        <v>235</v>
      </c>
      <c r="N1480" t="s">
        <v>74</v>
      </c>
    </row>
    <row r="1481" spans="1:14" x14ac:dyDescent="0.25">
      <c r="A1481" t="s">
        <v>73</v>
      </c>
      <c r="B1481" s="114">
        <v>22</v>
      </c>
      <c r="C1481" t="s">
        <v>4110</v>
      </c>
      <c r="D1481" s="91" t="s">
        <v>6630</v>
      </c>
      <c r="G1481" t="s">
        <v>5016</v>
      </c>
      <c r="H1481" t="s">
        <v>5017</v>
      </c>
      <c r="L1481" s="13">
        <v>0</v>
      </c>
      <c r="M1481" t="s">
        <v>235</v>
      </c>
      <c r="N1481" t="s">
        <v>74</v>
      </c>
    </row>
    <row r="1482" spans="1:14" x14ac:dyDescent="0.25">
      <c r="A1482" t="s">
        <v>73</v>
      </c>
      <c r="B1482" s="114">
        <v>40</v>
      </c>
      <c r="C1482" t="s">
        <v>4088</v>
      </c>
      <c r="D1482" s="93" t="s">
        <v>6631</v>
      </c>
      <c r="G1482" t="s">
        <v>4972</v>
      </c>
      <c r="H1482" t="s">
        <v>4973</v>
      </c>
      <c r="L1482" s="13">
        <v>0</v>
      </c>
      <c r="M1482" t="s">
        <v>3004</v>
      </c>
      <c r="N1482" t="s">
        <v>74</v>
      </c>
    </row>
    <row r="1483" spans="1:14" x14ac:dyDescent="0.25">
      <c r="A1483" t="s">
        <v>73</v>
      </c>
      <c r="B1483" s="114">
        <v>42</v>
      </c>
      <c r="C1483" t="s">
        <v>4089</v>
      </c>
      <c r="D1483" s="91" t="s">
        <v>6632</v>
      </c>
      <c r="G1483" t="s">
        <v>4974</v>
      </c>
      <c r="H1483" t="s">
        <v>4975</v>
      </c>
      <c r="L1483" s="13">
        <v>0</v>
      </c>
      <c r="M1483" t="s">
        <v>235</v>
      </c>
      <c r="N1483" t="s">
        <v>74</v>
      </c>
    </row>
    <row r="1484" spans="1:14" x14ac:dyDescent="0.25">
      <c r="A1484" t="s">
        <v>73</v>
      </c>
      <c r="B1484" s="114">
        <v>43</v>
      </c>
      <c r="C1484" t="s">
        <v>4090</v>
      </c>
      <c r="D1484" s="91" t="s">
        <v>6633</v>
      </c>
      <c r="G1484" t="s">
        <v>4976</v>
      </c>
      <c r="H1484" t="s">
        <v>4977</v>
      </c>
      <c r="L1484" s="13">
        <v>0</v>
      </c>
      <c r="M1484" t="s">
        <v>235</v>
      </c>
      <c r="N1484" t="s">
        <v>74</v>
      </c>
    </row>
    <row r="1485" spans="1:14" x14ac:dyDescent="0.25">
      <c r="A1485" t="s">
        <v>73</v>
      </c>
      <c r="B1485" s="114">
        <v>44</v>
      </c>
      <c r="C1485" t="s">
        <v>4091</v>
      </c>
      <c r="D1485" s="91" t="s">
        <v>6634</v>
      </c>
      <c r="G1485" t="s">
        <v>4978</v>
      </c>
      <c r="H1485" t="s">
        <v>4979</v>
      </c>
      <c r="L1485" s="13">
        <v>0</v>
      </c>
      <c r="M1485" t="s">
        <v>165</v>
      </c>
      <c r="N1485" t="s">
        <v>74</v>
      </c>
    </row>
    <row r="1486" spans="1:14" x14ac:dyDescent="0.25">
      <c r="A1486" t="s">
        <v>73</v>
      </c>
      <c r="B1486" s="114">
        <v>45</v>
      </c>
      <c r="C1486" t="s">
        <v>4092</v>
      </c>
      <c r="D1486" s="91" t="s">
        <v>6635</v>
      </c>
      <c r="G1486" t="s">
        <v>4980</v>
      </c>
      <c r="H1486" t="s">
        <v>4981</v>
      </c>
      <c r="L1486" s="13">
        <v>0</v>
      </c>
      <c r="M1486" t="s">
        <v>249</v>
      </c>
      <c r="N1486" t="s">
        <v>74</v>
      </c>
    </row>
    <row r="1487" spans="1:14" x14ac:dyDescent="0.25">
      <c r="A1487" t="s">
        <v>73</v>
      </c>
      <c r="B1487" s="114">
        <v>46</v>
      </c>
      <c r="C1487" t="s">
        <v>4111</v>
      </c>
      <c r="D1487" t="s">
        <v>5019</v>
      </c>
      <c r="G1487" t="s">
        <v>5018</v>
      </c>
      <c r="H1487" t="s">
        <v>5019</v>
      </c>
      <c r="L1487" s="13">
        <v>0</v>
      </c>
      <c r="M1487" t="s">
        <v>157</v>
      </c>
      <c r="N1487" t="s">
        <v>74</v>
      </c>
    </row>
    <row r="1488" spans="1:14" x14ac:dyDescent="0.25">
      <c r="A1488" t="s">
        <v>73</v>
      </c>
      <c r="B1488" s="114">
        <v>46</v>
      </c>
      <c r="C1488" t="s">
        <v>4093</v>
      </c>
      <c r="D1488" t="s">
        <v>4983</v>
      </c>
      <c r="G1488" t="s">
        <v>4982</v>
      </c>
      <c r="H1488" t="s">
        <v>4983</v>
      </c>
      <c r="L1488" s="13">
        <v>0</v>
      </c>
      <c r="M1488" t="s">
        <v>157</v>
      </c>
      <c r="N1488" t="s">
        <v>74</v>
      </c>
    </row>
    <row r="1489" spans="1:14" x14ac:dyDescent="0.25">
      <c r="A1489" t="s">
        <v>73</v>
      </c>
      <c r="B1489" s="114">
        <v>47</v>
      </c>
      <c r="C1489" t="s">
        <v>4112</v>
      </c>
      <c r="D1489" t="s">
        <v>5021</v>
      </c>
      <c r="G1489" t="s">
        <v>5020</v>
      </c>
      <c r="H1489" t="s">
        <v>5021</v>
      </c>
      <c r="L1489" s="13">
        <v>0</v>
      </c>
      <c r="M1489" t="s">
        <v>157</v>
      </c>
      <c r="N1489" t="s">
        <v>74</v>
      </c>
    </row>
    <row r="1490" spans="1:14" x14ac:dyDescent="0.25">
      <c r="A1490" t="s">
        <v>73</v>
      </c>
      <c r="B1490" s="114">
        <v>47</v>
      </c>
      <c r="C1490" t="s">
        <v>4094</v>
      </c>
      <c r="D1490" t="s">
        <v>4985</v>
      </c>
      <c r="G1490" t="s">
        <v>4984</v>
      </c>
      <c r="H1490" t="s">
        <v>4985</v>
      </c>
      <c r="L1490" s="13">
        <v>0</v>
      </c>
      <c r="M1490" t="s">
        <v>157</v>
      </c>
      <c r="N1490" t="s">
        <v>74</v>
      </c>
    </row>
    <row r="1491" spans="1:14" x14ac:dyDescent="0.25">
      <c r="A1491" t="s">
        <v>73</v>
      </c>
      <c r="B1491" s="114">
        <v>48</v>
      </c>
      <c r="C1491" t="s">
        <v>4095</v>
      </c>
      <c r="D1491" t="s">
        <v>4987</v>
      </c>
      <c r="G1491" t="s">
        <v>4986</v>
      </c>
      <c r="H1491" t="s">
        <v>4987</v>
      </c>
      <c r="L1491" s="13">
        <v>0</v>
      </c>
      <c r="M1491" t="s">
        <v>6344</v>
      </c>
      <c r="N1491" t="s">
        <v>74</v>
      </c>
    </row>
    <row r="1492" spans="1:14" x14ac:dyDescent="0.25">
      <c r="A1492" t="s">
        <v>73</v>
      </c>
      <c r="B1492" s="114">
        <v>48</v>
      </c>
      <c r="C1492" t="s">
        <v>4113</v>
      </c>
      <c r="D1492" t="s">
        <v>6636</v>
      </c>
      <c r="G1492" t="s">
        <v>5022</v>
      </c>
      <c r="H1492" t="s">
        <v>5023</v>
      </c>
      <c r="L1492" s="13">
        <v>0</v>
      </c>
      <c r="M1492" t="s">
        <v>6345</v>
      </c>
      <c r="N1492" t="s">
        <v>74</v>
      </c>
    </row>
    <row r="1493" spans="1:14" x14ac:dyDescent="0.25">
      <c r="A1493" t="s">
        <v>73</v>
      </c>
      <c r="B1493" s="114">
        <v>50</v>
      </c>
      <c r="C1493" t="s">
        <v>4096</v>
      </c>
      <c r="D1493" s="91" t="s">
        <v>6637</v>
      </c>
      <c r="G1493" t="s">
        <v>4988</v>
      </c>
      <c r="H1493" t="s">
        <v>4989</v>
      </c>
      <c r="L1493" s="13">
        <v>0</v>
      </c>
      <c r="M1493" t="s">
        <v>92</v>
      </c>
      <c r="N1493" t="s">
        <v>74</v>
      </c>
    </row>
    <row r="1494" spans="1:14" x14ac:dyDescent="0.25">
      <c r="A1494" t="s">
        <v>73</v>
      </c>
      <c r="B1494" s="114"/>
      <c r="C1494" s="37" t="s">
        <v>4115</v>
      </c>
      <c r="D1494" s="91"/>
      <c r="G1494" t="s">
        <v>5026</v>
      </c>
      <c r="H1494" t="s">
        <v>5027</v>
      </c>
      <c r="L1494" s="13">
        <v>0</v>
      </c>
      <c r="M1494" t="s">
        <v>100</v>
      </c>
      <c r="N1494" t="s">
        <v>74</v>
      </c>
    </row>
    <row r="1495" spans="1:14" x14ac:dyDescent="0.25">
      <c r="A1495" t="s">
        <v>73</v>
      </c>
      <c r="B1495" s="114"/>
      <c r="C1495" s="37" t="s">
        <v>4116</v>
      </c>
      <c r="D1495" s="91"/>
      <c r="G1495" t="s">
        <v>5028</v>
      </c>
      <c r="H1495" t="s">
        <v>5029</v>
      </c>
      <c r="L1495" s="13">
        <v>0</v>
      </c>
      <c r="M1495" t="s">
        <v>100</v>
      </c>
      <c r="N1495" t="s">
        <v>74</v>
      </c>
    </row>
    <row r="1496" spans="1:14" x14ac:dyDescent="0.25">
      <c r="A1496" t="s">
        <v>73</v>
      </c>
      <c r="B1496" s="114"/>
      <c r="C1496" s="37" t="s">
        <v>4097</v>
      </c>
      <c r="D1496" s="91"/>
      <c r="G1496" t="s">
        <v>4990</v>
      </c>
      <c r="H1496" t="s">
        <v>4991</v>
      </c>
      <c r="L1496" s="13">
        <v>0</v>
      </c>
      <c r="M1496" t="s">
        <v>92</v>
      </c>
      <c r="N1496" t="s">
        <v>74</v>
      </c>
    </row>
    <row r="1497" spans="1:14" x14ac:dyDescent="0.25">
      <c r="A1497" t="s">
        <v>73</v>
      </c>
      <c r="B1497" s="114"/>
      <c r="C1497" t="s">
        <v>4114</v>
      </c>
      <c r="D1497" s="91" t="s">
        <v>6639</v>
      </c>
      <c r="G1497" t="s">
        <v>5024</v>
      </c>
      <c r="H1497" t="s">
        <v>5025</v>
      </c>
      <c r="L1497" s="13">
        <v>0</v>
      </c>
      <c r="M1497" t="s">
        <v>165</v>
      </c>
      <c r="N1497" t="s">
        <v>74</v>
      </c>
    </row>
    <row r="1498" spans="1:14" x14ac:dyDescent="0.25">
      <c r="A1498" t="s">
        <v>73</v>
      </c>
      <c r="B1498" s="114"/>
      <c r="C1498" t="s">
        <v>4117</v>
      </c>
      <c r="D1498" s="91" t="s">
        <v>6638</v>
      </c>
      <c r="G1498" t="s">
        <v>5030</v>
      </c>
      <c r="H1498" t="s">
        <v>5031</v>
      </c>
      <c r="L1498" s="13">
        <v>0</v>
      </c>
      <c r="M1498" t="s">
        <v>6346</v>
      </c>
      <c r="N1498" t="s">
        <v>74</v>
      </c>
    </row>
    <row r="1499" spans="1:14" x14ac:dyDescent="0.25">
      <c r="A1499" t="s">
        <v>73</v>
      </c>
      <c r="B1499" s="115"/>
      <c r="C1499" s="62" t="s">
        <v>248</v>
      </c>
      <c r="D1499" s="64"/>
      <c r="E1499" s="69" t="s">
        <v>1650</v>
      </c>
      <c r="F1499" s="62"/>
      <c r="G1499" s="62" t="s">
        <v>571</v>
      </c>
      <c r="H1499" s="62" t="s">
        <v>572</v>
      </c>
      <c r="I1499" s="62" t="s">
        <v>2441</v>
      </c>
      <c r="J1499" s="64"/>
      <c r="K1499" s="86">
        <v>0</v>
      </c>
      <c r="L1499" s="90">
        <v>2</v>
      </c>
      <c r="M1499" s="62" t="s">
        <v>235</v>
      </c>
      <c r="N1499" t="s">
        <v>74</v>
      </c>
    </row>
    <row r="1500" spans="1:14" x14ac:dyDescent="0.25">
      <c r="A1500" t="s">
        <v>73</v>
      </c>
      <c r="C1500" s="37" t="s">
        <v>6936</v>
      </c>
      <c r="G1500" t="s">
        <v>550</v>
      </c>
      <c r="H1500" t="s">
        <v>551</v>
      </c>
      <c r="M1500" t="s">
        <v>91</v>
      </c>
      <c r="N1500" t="s">
        <v>74</v>
      </c>
    </row>
    <row r="1501" spans="1:14" x14ac:dyDescent="0.25">
      <c r="A1501" s="37" t="s">
        <v>6596</v>
      </c>
      <c r="B1501" s="114"/>
      <c r="C1501" t="s">
        <v>4141</v>
      </c>
      <c r="D1501" s="91"/>
      <c r="G1501" t="s">
        <v>5078</v>
      </c>
      <c r="H1501" t="s">
        <v>5079</v>
      </c>
      <c r="L1501" s="13">
        <v>0</v>
      </c>
      <c r="M1501" t="s">
        <v>235</v>
      </c>
      <c r="N1501" t="s">
        <v>74</v>
      </c>
    </row>
    <row r="1502" spans="1:14" x14ac:dyDescent="0.25">
      <c r="A1502" s="37" t="s">
        <v>6596</v>
      </c>
      <c r="B1502" s="114"/>
      <c r="C1502" t="s">
        <v>4140</v>
      </c>
      <c r="D1502" s="91"/>
      <c r="G1502" t="s">
        <v>5076</v>
      </c>
      <c r="H1502" t="s">
        <v>5077</v>
      </c>
      <c r="L1502" s="13">
        <v>0</v>
      </c>
      <c r="M1502" t="s">
        <v>235</v>
      </c>
      <c r="N1502" t="s">
        <v>74</v>
      </c>
    </row>
    <row r="1503" spans="1:14" x14ac:dyDescent="0.25">
      <c r="A1503" s="37" t="s">
        <v>6596</v>
      </c>
      <c r="B1503" s="114"/>
      <c r="C1503" t="s">
        <v>4143</v>
      </c>
      <c r="D1503" s="91"/>
      <c r="G1503" t="s">
        <v>5082</v>
      </c>
      <c r="H1503" t="s">
        <v>5083</v>
      </c>
      <c r="L1503" s="13">
        <v>0</v>
      </c>
      <c r="M1503" t="s">
        <v>6349</v>
      </c>
      <c r="N1503" t="s">
        <v>74</v>
      </c>
    </row>
    <row r="1504" spans="1:14" x14ac:dyDescent="0.25">
      <c r="A1504" s="143" t="s">
        <v>4061</v>
      </c>
      <c r="B1504" s="114">
        <v>1</v>
      </c>
      <c r="C1504" t="s">
        <v>4073</v>
      </c>
      <c r="G1504" t="s">
        <v>4947</v>
      </c>
      <c r="H1504" t="s">
        <v>292</v>
      </c>
      <c r="L1504" s="13">
        <v>0</v>
      </c>
      <c r="N1504" t="s">
        <v>74</v>
      </c>
    </row>
    <row r="1505" spans="1:14" x14ac:dyDescent="0.25">
      <c r="A1505" s="143" t="s">
        <v>4061</v>
      </c>
      <c r="B1505" s="114">
        <v>1</v>
      </c>
      <c r="C1505" t="s">
        <v>106</v>
      </c>
      <c r="G1505" t="s">
        <v>301</v>
      </c>
      <c r="H1505" t="s">
        <v>292</v>
      </c>
      <c r="L1505" s="13" t="s">
        <v>605</v>
      </c>
      <c r="N1505" t="s">
        <v>74</v>
      </c>
    </row>
    <row r="1506" spans="1:14" x14ac:dyDescent="0.25">
      <c r="A1506" s="143" t="s">
        <v>4061</v>
      </c>
      <c r="B1506" s="114">
        <v>1</v>
      </c>
      <c r="C1506" t="s">
        <v>4068</v>
      </c>
      <c r="D1506" s="91"/>
      <c r="G1506" t="s">
        <v>4935</v>
      </c>
      <c r="H1506" t="s">
        <v>4936</v>
      </c>
      <c r="L1506" s="13">
        <v>0</v>
      </c>
      <c r="M1506" t="s">
        <v>91</v>
      </c>
      <c r="N1506" t="s">
        <v>74</v>
      </c>
    </row>
    <row r="1507" spans="1:14" x14ac:dyDescent="0.25">
      <c r="A1507" s="143" t="s">
        <v>4061</v>
      </c>
      <c r="B1507" s="114">
        <v>1</v>
      </c>
      <c r="C1507" t="s">
        <v>2637</v>
      </c>
      <c r="D1507" s="91"/>
      <c r="G1507" t="s">
        <v>4926</v>
      </c>
      <c r="H1507" t="s">
        <v>2841</v>
      </c>
      <c r="L1507" s="13">
        <v>0</v>
      </c>
      <c r="M1507" t="s">
        <v>91</v>
      </c>
      <c r="N1507" t="s">
        <v>74</v>
      </c>
    </row>
    <row r="1508" spans="1:14" x14ac:dyDescent="0.25">
      <c r="A1508" s="143" t="s">
        <v>4061</v>
      </c>
      <c r="B1508" s="114">
        <v>1</v>
      </c>
      <c r="C1508" t="s">
        <v>4069</v>
      </c>
      <c r="D1508" s="91"/>
      <c r="G1508" t="s">
        <v>4937</v>
      </c>
      <c r="H1508" t="s">
        <v>4938</v>
      </c>
      <c r="L1508" s="13">
        <v>0</v>
      </c>
      <c r="M1508" t="s">
        <v>91</v>
      </c>
      <c r="N1508" t="s">
        <v>74</v>
      </c>
    </row>
    <row r="1509" spans="1:14" x14ac:dyDescent="0.25">
      <c r="A1509" s="143" t="s">
        <v>4061</v>
      </c>
      <c r="B1509" s="114">
        <v>2</v>
      </c>
      <c r="C1509" t="s">
        <v>4074</v>
      </c>
      <c r="D1509" s="91"/>
      <c r="G1509" t="s">
        <v>4948</v>
      </c>
      <c r="H1509" t="s">
        <v>310</v>
      </c>
      <c r="L1509" s="13">
        <v>0</v>
      </c>
      <c r="M1509" t="s">
        <v>91</v>
      </c>
      <c r="N1509" t="s">
        <v>74</v>
      </c>
    </row>
    <row r="1510" spans="1:14" x14ac:dyDescent="0.25">
      <c r="A1510" s="143" t="s">
        <v>4061</v>
      </c>
      <c r="B1510" s="114">
        <v>2</v>
      </c>
      <c r="C1510" t="s">
        <v>107</v>
      </c>
      <c r="D1510" s="91"/>
      <c r="G1510" t="s">
        <v>4792</v>
      </c>
      <c r="H1510" t="s">
        <v>4793</v>
      </c>
      <c r="L1510" s="13">
        <v>0</v>
      </c>
      <c r="M1510" t="s">
        <v>91</v>
      </c>
      <c r="N1510" t="s">
        <v>74</v>
      </c>
    </row>
    <row r="1511" spans="1:14" x14ac:dyDescent="0.25">
      <c r="A1511" s="143" t="s">
        <v>4061</v>
      </c>
      <c r="B1511" s="114">
        <v>2</v>
      </c>
      <c r="C1511" t="s">
        <v>102</v>
      </c>
      <c r="D1511" s="91"/>
      <c r="G1511" t="s">
        <v>293</v>
      </c>
      <c r="H1511" t="s">
        <v>294</v>
      </c>
      <c r="L1511" s="13">
        <v>0</v>
      </c>
      <c r="M1511" t="s">
        <v>91</v>
      </c>
      <c r="N1511" t="s">
        <v>74</v>
      </c>
    </row>
    <row r="1512" spans="1:14" x14ac:dyDescent="0.25">
      <c r="A1512" s="143" t="s">
        <v>4061</v>
      </c>
      <c r="B1512" s="114">
        <v>2</v>
      </c>
      <c r="C1512" t="s">
        <v>4062</v>
      </c>
      <c r="D1512" s="91"/>
      <c r="G1512" t="s">
        <v>4927</v>
      </c>
      <c r="H1512" t="s">
        <v>4928</v>
      </c>
      <c r="L1512" s="13">
        <v>0</v>
      </c>
      <c r="M1512" t="s">
        <v>91</v>
      </c>
      <c r="N1512" t="s">
        <v>74</v>
      </c>
    </row>
    <row r="1513" spans="1:14" x14ac:dyDescent="0.25">
      <c r="A1513" s="143" t="s">
        <v>4061</v>
      </c>
      <c r="B1513" s="114">
        <v>3</v>
      </c>
      <c r="C1513" t="s">
        <v>4075</v>
      </c>
      <c r="D1513" s="91"/>
      <c r="G1513" t="s">
        <v>4949</v>
      </c>
      <c r="H1513" t="s">
        <v>3982</v>
      </c>
      <c r="L1513" s="13">
        <v>0</v>
      </c>
      <c r="M1513" t="s">
        <v>91</v>
      </c>
      <c r="N1513" t="s">
        <v>74</v>
      </c>
    </row>
    <row r="1514" spans="1:14" x14ac:dyDescent="0.25">
      <c r="A1514" s="143" t="s">
        <v>4061</v>
      </c>
      <c r="B1514" s="114">
        <v>3</v>
      </c>
      <c r="C1514" t="s">
        <v>4063</v>
      </c>
      <c r="D1514" s="91"/>
      <c r="G1514" t="s">
        <v>4929</v>
      </c>
      <c r="H1514" t="s">
        <v>4930</v>
      </c>
      <c r="L1514" s="13">
        <v>0</v>
      </c>
      <c r="M1514" t="s">
        <v>91</v>
      </c>
      <c r="N1514" t="s">
        <v>74</v>
      </c>
    </row>
    <row r="1515" spans="1:14" x14ac:dyDescent="0.25">
      <c r="A1515" s="143" t="s">
        <v>4061</v>
      </c>
      <c r="B1515" s="114">
        <v>3</v>
      </c>
      <c r="C1515" t="s">
        <v>108</v>
      </c>
      <c r="D1515" s="91"/>
      <c r="G1515" t="s">
        <v>304</v>
      </c>
      <c r="H1515" t="s">
        <v>305</v>
      </c>
      <c r="L1515" s="13">
        <v>0</v>
      </c>
      <c r="M1515" t="s">
        <v>92</v>
      </c>
      <c r="N1515" t="s">
        <v>74</v>
      </c>
    </row>
    <row r="1516" spans="1:14" x14ac:dyDescent="0.25">
      <c r="A1516" s="143" t="s">
        <v>4061</v>
      </c>
      <c r="B1516" s="114">
        <v>3</v>
      </c>
      <c r="C1516" t="s">
        <v>103</v>
      </c>
      <c r="D1516" s="91"/>
      <c r="G1516" t="s">
        <v>295</v>
      </c>
      <c r="H1516" t="s">
        <v>296</v>
      </c>
      <c r="L1516" s="13">
        <v>0</v>
      </c>
      <c r="M1516" t="s">
        <v>91</v>
      </c>
      <c r="N1516" t="s">
        <v>74</v>
      </c>
    </row>
    <row r="1517" spans="1:14" x14ac:dyDescent="0.25">
      <c r="A1517" s="143" t="s">
        <v>4061</v>
      </c>
      <c r="B1517" s="114">
        <v>4</v>
      </c>
      <c r="C1517" t="s">
        <v>4064</v>
      </c>
      <c r="D1517" s="91"/>
      <c r="G1517" t="s">
        <v>4931</v>
      </c>
      <c r="H1517" t="s">
        <v>3909</v>
      </c>
      <c r="L1517" s="13">
        <v>0</v>
      </c>
      <c r="M1517" t="s">
        <v>91</v>
      </c>
      <c r="N1517" t="s">
        <v>74</v>
      </c>
    </row>
    <row r="1518" spans="1:14" x14ac:dyDescent="0.25">
      <c r="A1518" s="143" t="s">
        <v>4061</v>
      </c>
      <c r="B1518" s="114">
        <v>4</v>
      </c>
      <c r="C1518" t="s">
        <v>109</v>
      </c>
      <c r="D1518" s="91"/>
      <c r="G1518" t="s">
        <v>306</v>
      </c>
      <c r="H1518" t="s">
        <v>307</v>
      </c>
      <c r="L1518" s="13">
        <v>0</v>
      </c>
      <c r="M1518" t="s">
        <v>92</v>
      </c>
      <c r="N1518" t="s">
        <v>74</v>
      </c>
    </row>
    <row r="1519" spans="1:14" x14ac:dyDescent="0.25">
      <c r="A1519" s="143" t="s">
        <v>4061</v>
      </c>
      <c r="B1519" s="114">
        <v>4</v>
      </c>
      <c r="C1519" t="s">
        <v>3844</v>
      </c>
      <c r="D1519" s="91"/>
      <c r="G1519" t="s">
        <v>4945</v>
      </c>
      <c r="H1519" t="s">
        <v>3942</v>
      </c>
      <c r="L1519" s="13">
        <v>0</v>
      </c>
      <c r="N1519" t="s">
        <v>74</v>
      </c>
    </row>
    <row r="1520" spans="1:14" x14ac:dyDescent="0.25">
      <c r="A1520" s="143" t="s">
        <v>4061</v>
      </c>
      <c r="B1520" s="114">
        <v>4</v>
      </c>
      <c r="C1520" t="s">
        <v>104</v>
      </c>
      <c r="D1520" s="91"/>
      <c r="G1520" t="s">
        <v>297</v>
      </c>
      <c r="H1520" t="s">
        <v>298</v>
      </c>
      <c r="L1520" s="13">
        <v>0</v>
      </c>
      <c r="M1520" t="s">
        <v>91</v>
      </c>
      <c r="N1520" t="s">
        <v>74</v>
      </c>
    </row>
    <row r="1521" spans="1:14" x14ac:dyDescent="0.25">
      <c r="A1521" s="143" t="s">
        <v>4061</v>
      </c>
      <c r="B1521" s="114">
        <v>5</v>
      </c>
      <c r="C1521" t="s">
        <v>105</v>
      </c>
      <c r="D1521" s="91"/>
      <c r="G1521" t="s">
        <v>299</v>
      </c>
      <c r="H1521" t="s">
        <v>4787</v>
      </c>
      <c r="L1521" s="13">
        <v>0</v>
      </c>
      <c r="M1521" t="s">
        <v>92</v>
      </c>
      <c r="N1521" t="s">
        <v>74</v>
      </c>
    </row>
    <row r="1522" spans="1:14" x14ac:dyDescent="0.25">
      <c r="A1522" s="143" t="s">
        <v>4061</v>
      </c>
      <c r="B1522" s="114">
        <v>5</v>
      </c>
      <c r="C1522" t="s">
        <v>4065</v>
      </c>
      <c r="D1522" s="91"/>
      <c r="G1522" t="s">
        <v>4932</v>
      </c>
      <c r="H1522" t="s">
        <v>3911</v>
      </c>
      <c r="L1522" s="13">
        <v>0</v>
      </c>
      <c r="M1522" t="s">
        <v>153</v>
      </c>
      <c r="N1522" t="s">
        <v>74</v>
      </c>
    </row>
    <row r="1523" spans="1:14" x14ac:dyDescent="0.25">
      <c r="A1523" s="143" t="s">
        <v>4061</v>
      </c>
      <c r="B1523" s="114">
        <v>6</v>
      </c>
      <c r="C1523" t="s">
        <v>3994</v>
      </c>
      <c r="D1523" s="91"/>
      <c r="G1523" s="37" t="s">
        <v>301</v>
      </c>
      <c r="H1523" s="37" t="s">
        <v>4790</v>
      </c>
      <c r="L1523" s="13" t="s">
        <v>605</v>
      </c>
      <c r="N1523" t="s">
        <v>74</v>
      </c>
    </row>
    <row r="1524" spans="1:14" x14ac:dyDescent="0.25">
      <c r="A1524" s="143" t="s">
        <v>4061</v>
      </c>
      <c r="B1524" s="114">
        <v>6</v>
      </c>
      <c r="C1524" t="s">
        <v>4066</v>
      </c>
      <c r="D1524" s="91"/>
      <c r="G1524" t="s">
        <v>4933</v>
      </c>
      <c r="H1524" t="s">
        <v>4781</v>
      </c>
      <c r="L1524" s="13">
        <v>0</v>
      </c>
      <c r="M1524" t="s">
        <v>153</v>
      </c>
      <c r="N1524" t="s">
        <v>74</v>
      </c>
    </row>
    <row r="1525" spans="1:14" x14ac:dyDescent="0.25">
      <c r="A1525" s="143" t="s">
        <v>4061</v>
      </c>
      <c r="B1525" s="114">
        <v>7</v>
      </c>
      <c r="C1525" t="s">
        <v>3846</v>
      </c>
      <c r="D1525" s="91"/>
      <c r="G1525" t="s">
        <v>4946</v>
      </c>
      <c r="H1525" t="s">
        <v>3947</v>
      </c>
      <c r="L1525" s="13">
        <v>0</v>
      </c>
      <c r="M1525" t="s">
        <v>91</v>
      </c>
      <c r="N1525" t="s">
        <v>74</v>
      </c>
    </row>
    <row r="1526" spans="1:14" x14ac:dyDescent="0.25">
      <c r="A1526" s="143" t="s">
        <v>4061</v>
      </c>
      <c r="B1526" s="114">
        <v>7</v>
      </c>
      <c r="C1526" t="s">
        <v>4067</v>
      </c>
      <c r="D1526" s="91"/>
      <c r="G1526" t="s">
        <v>4934</v>
      </c>
      <c r="H1526" t="s">
        <v>3915</v>
      </c>
      <c r="L1526" s="13">
        <v>0</v>
      </c>
      <c r="M1526" t="s">
        <v>91</v>
      </c>
      <c r="N1526" t="s">
        <v>74</v>
      </c>
    </row>
    <row r="1527" spans="1:14" x14ac:dyDescent="0.25">
      <c r="A1527" s="143" t="s">
        <v>4061</v>
      </c>
      <c r="B1527" s="114">
        <v>10</v>
      </c>
      <c r="C1527" t="s">
        <v>4071</v>
      </c>
      <c r="D1527" s="91"/>
      <c r="G1527" t="s">
        <v>4941</v>
      </c>
      <c r="H1527" t="s">
        <v>4942</v>
      </c>
      <c r="L1527" s="13">
        <v>0</v>
      </c>
      <c r="M1527" t="s">
        <v>92</v>
      </c>
      <c r="N1527" t="s">
        <v>74</v>
      </c>
    </row>
    <row r="1528" spans="1:14" x14ac:dyDescent="0.25">
      <c r="A1528" s="143" t="s">
        <v>4061</v>
      </c>
      <c r="B1528" s="114">
        <v>10</v>
      </c>
      <c r="C1528" t="s">
        <v>4072</v>
      </c>
      <c r="D1528" s="91"/>
      <c r="G1528" t="s">
        <v>4943</v>
      </c>
      <c r="H1528" t="s">
        <v>4944</v>
      </c>
      <c r="L1528" s="13">
        <v>0</v>
      </c>
      <c r="M1528" t="s">
        <v>92</v>
      </c>
      <c r="N1528" t="s">
        <v>74</v>
      </c>
    </row>
    <row r="1529" spans="1:14" x14ac:dyDescent="0.25">
      <c r="A1529" s="143" t="s">
        <v>4061</v>
      </c>
      <c r="B1529" s="114">
        <v>12</v>
      </c>
      <c r="C1529" t="s">
        <v>4070</v>
      </c>
      <c r="D1529" s="91"/>
      <c r="G1529" t="s">
        <v>4939</v>
      </c>
      <c r="H1529" t="s">
        <v>4940</v>
      </c>
      <c r="L1529" s="13">
        <v>0</v>
      </c>
      <c r="M1529" t="s">
        <v>91</v>
      </c>
      <c r="N1529" t="s">
        <v>74</v>
      </c>
    </row>
  </sheetData>
  <sortState xmlns:xlrd2="http://schemas.microsoft.com/office/spreadsheetml/2017/richdata2" ref="A2:O1529">
    <sortCondition ref="A2:A1529"/>
    <sortCondition ref="B2:B1529"/>
    <sortCondition ref="C2:C1529"/>
  </sortState>
  <conditionalFormatting sqref="A1">
    <cfRule type="duplicateValues" dxfId="53" priority="35"/>
  </conditionalFormatting>
  <conditionalFormatting sqref="A1">
    <cfRule type="duplicateValues" dxfId="52" priority="36"/>
  </conditionalFormatting>
  <conditionalFormatting sqref="A1">
    <cfRule type="duplicateValues" dxfId="51" priority="37"/>
  </conditionalFormatting>
  <conditionalFormatting sqref="A1">
    <cfRule type="duplicateValues" dxfId="50" priority="34"/>
  </conditionalFormatting>
  <conditionalFormatting sqref="B1">
    <cfRule type="duplicateValues" dxfId="49" priority="31"/>
  </conditionalFormatting>
  <conditionalFormatting sqref="B1">
    <cfRule type="duplicateValues" dxfId="48" priority="32"/>
  </conditionalFormatting>
  <conditionalFormatting sqref="B1">
    <cfRule type="duplicateValues" dxfId="47" priority="33"/>
  </conditionalFormatting>
  <conditionalFormatting sqref="B1">
    <cfRule type="duplicateValues" dxfId="46" priority="30"/>
  </conditionalFormatting>
  <conditionalFormatting sqref="B1:B1524">
    <cfRule type="cellIs" dxfId="45" priority="29" operator="equal">
      <formula>-99</formula>
    </cfRule>
  </conditionalFormatting>
  <conditionalFormatting sqref="C492 C91:C282 C1:C88">
    <cfRule type="duplicateValues" dxfId="44" priority="2410"/>
  </conditionalFormatting>
  <conditionalFormatting sqref="C91:C153 C1:C88">
    <cfRule type="duplicateValues" dxfId="43" priority="3174"/>
  </conditionalFormatting>
  <conditionalFormatting sqref="C171">
    <cfRule type="duplicateValues" dxfId="42" priority="3533"/>
  </conditionalFormatting>
  <conditionalFormatting sqref="C91:C262 C1:C88">
    <cfRule type="duplicateValues" dxfId="41" priority="4093"/>
  </conditionalFormatting>
  <conditionalFormatting sqref="G1:G19 G21:G262">
    <cfRule type="duplicateValues" dxfId="40" priority="4095"/>
  </conditionalFormatting>
  <conditionalFormatting sqref="C1:C1048576">
    <cfRule type="duplicateValues" dxfId="39" priority="27"/>
  </conditionalFormatting>
  <conditionalFormatting sqref="G1095">
    <cfRule type="duplicateValues" dxfId="38" priority="26"/>
  </conditionalFormatting>
  <conditionalFormatting sqref="G1112">
    <cfRule type="duplicateValues" dxfId="37" priority="25"/>
  </conditionalFormatting>
  <conditionalFormatting sqref="G1203">
    <cfRule type="duplicateValues" dxfId="36" priority="24"/>
  </conditionalFormatting>
  <conditionalFormatting sqref="G1242">
    <cfRule type="duplicateValues" dxfId="35" priority="23"/>
  </conditionalFormatting>
  <conditionalFormatting sqref="G1378">
    <cfRule type="duplicateValues" dxfId="34" priority="22"/>
  </conditionalFormatting>
  <conditionalFormatting sqref="G1089:G1090 G1093:G1094">
    <cfRule type="duplicateValues" dxfId="33" priority="21"/>
  </conditionalFormatting>
  <conditionalFormatting sqref="G1106:G1107 G1109:G1110">
    <cfRule type="duplicateValues" dxfId="32" priority="20"/>
  </conditionalFormatting>
  <conditionalFormatting sqref="G1197:G1198 G1200:G1201">
    <cfRule type="duplicateValues" dxfId="31" priority="19"/>
  </conditionalFormatting>
  <conditionalFormatting sqref="G1237:G1240">
    <cfRule type="duplicateValues" dxfId="30" priority="18"/>
  </conditionalFormatting>
  <conditionalFormatting sqref="G1371:G1372 G1375:G1376">
    <cfRule type="duplicateValues" dxfId="29" priority="17"/>
  </conditionalFormatting>
  <conditionalFormatting sqref="G638 G644:G645 G641">
    <cfRule type="duplicateValues" dxfId="28" priority="16"/>
  </conditionalFormatting>
  <conditionalFormatting sqref="G625 G628:G629 G631">
    <cfRule type="duplicateValues" dxfId="27" priority="15"/>
  </conditionalFormatting>
  <conditionalFormatting sqref="G593:G594 G596:G597">
    <cfRule type="duplicateValues" dxfId="26" priority="14"/>
  </conditionalFormatting>
  <conditionalFormatting sqref="G516">
    <cfRule type="duplicateValues" dxfId="25" priority="13"/>
  </conditionalFormatting>
  <conditionalFormatting sqref="G442">
    <cfRule type="duplicateValues" dxfId="24" priority="12"/>
  </conditionalFormatting>
  <conditionalFormatting sqref="G595">
    <cfRule type="duplicateValues" dxfId="23" priority="11"/>
  </conditionalFormatting>
  <conditionalFormatting sqref="G626">
    <cfRule type="duplicateValues" dxfId="22" priority="10"/>
  </conditionalFormatting>
  <conditionalFormatting sqref="G627">
    <cfRule type="duplicateValues" dxfId="21" priority="9"/>
  </conditionalFormatting>
  <conditionalFormatting sqref="G639">
    <cfRule type="duplicateValues" dxfId="20" priority="8"/>
  </conditionalFormatting>
  <conditionalFormatting sqref="G640">
    <cfRule type="duplicateValues" dxfId="19" priority="7"/>
  </conditionalFormatting>
  <conditionalFormatting sqref="C1:C88 C91:C1524">
    <cfRule type="duplicateValues" dxfId="18" priority="4823"/>
  </conditionalFormatting>
  <conditionalFormatting sqref="G642:G643 G323:G441 G632:G637 G630 G517:G592 G443:G491 G493:G515 G598:G624 G646:G1087">
    <cfRule type="duplicateValues" dxfId="17" priority="4826"/>
  </conditionalFormatting>
  <conditionalFormatting sqref="G1091">
    <cfRule type="duplicateValues" dxfId="16" priority="6"/>
  </conditionalFormatting>
  <conditionalFormatting sqref="G1092">
    <cfRule type="duplicateValues" dxfId="15" priority="5"/>
  </conditionalFormatting>
  <conditionalFormatting sqref="G1108">
    <cfRule type="duplicateValues" dxfId="14" priority="4"/>
  </conditionalFormatting>
  <conditionalFormatting sqref="G1199">
    <cfRule type="duplicateValues" dxfId="13" priority="3"/>
  </conditionalFormatting>
  <conditionalFormatting sqref="G1373">
    <cfRule type="duplicateValues" dxfId="12" priority="2"/>
  </conditionalFormatting>
  <conditionalFormatting sqref="G1374">
    <cfRule type="duplicateValues" dxfId="11" priority="1"/>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8"/>
  <sheetViews>
    <sheetView zoomScaleNormal="100" workbookViewId="0">
      <pane ySplit="4" topLeftCell="A5" activePane="bottomLeft" state="frozen"/>
      <selection pane="bottomLeft" activeCell="F17" sqref="F17"/>
    </sheetView>
  </sheetViews>
  <sheetFormatPr defaultRowHeight="15" x14ac:dyDescent="0.25"/>
  <cols>
    <col min="1" max="1" width="13.7109375" customWidth="1"/>
    <col min="2" max="2" width="11.7109375" customWidth="1"/>
    <col min="3" max="16" width="20.7109375" customWidth="1"/>
    <col min="17" max="52" width="18.28515625" customWidth="1"/>
  </cols>
  <sheetData>
    <row r="1" spans="1:8" ht="150" customHeight="1" x14ac:dyDescent="0.25">
      <c r="A1" s="165" t="s">
        <v>6693</v>
      </c>
      <c r="B1" s="165"/>
      <c r="C1" s="165"/>
      <c r="D1" s="165"/>
      <c r="E1" s="165"/>
      <c r="F1" s="165"/>
      <c r="G1" s="165"/>
      <c r="H1" s="165"/>
    </row>
    <row r="2" spans="1:8" ht="28.5" customHeight="1" x14ac:dyDescent="0.25">
      <c r="A2" s="36"/>
      <c r="B2" s="36"/>
    </row>
    <row r="3" spans="1:8" s="82" customFormat="1" ht="32.25" customHeight="1" x14ac:dyDescent="0.25">
      <c r="A3" s="21" t="s">
        <v>1927</v>
      </c>
      <c r="B3" s="21" t="s">
        <v>1926</v>
      </c>
      <c r="C3" s="168" t="s">
        <v>1949</v>
      </c>
      <c r="D3" s="166" t="s">
        <v>356</v>
      </c>
      <c r="E3" s="166" t="s">
        <v>1948</v>
      </c>
      <c r="F3" s="21" t="s">
        <v>3396</v>
      </c>
      <c r="G3" s="21" t="s">
        <v>1899</v>
      </c>
      <c r="H3" s="82" t="s">
        <v>1950</v>
      </c>
    </row>
    <row r="4" spans="1:8" x14ac:dyDescent="0.25">
      <c r="A4" t="s">
        <v>93</v>
      </c>
      <c r="B4" t="s">
        <v>132</v>
      </c>
      <c r="C4" t="s">
        <v>134</v>
      </c>
      <c r="D4" t="s">
        <v>135</v>
      </c>
      <c r="E4" t="s">
        <v>133</v>
      </c>
      <c r="F4" t="s">
        <v>2610</v>
      </c>
      <c r="G4" t="s">
        <v>136</v>
      </c>
      <c r="H4" t="s">
        <v>137</v>
      </c>
    </row>
    <row r="5" spans="1:8" x14ac:dyDescent="0.25">
      <c r="A5" t="s">
        <v>6436</v>
      </c>
      <c r="B5" cm="1">
        <f t="array" ref="B5">IF(ROW() &lt; ROW(INDEX(genotypes[experiment_ID],ROWS(genotypes[experiment_ID]))), COUNTIF(INDEX(genotypes[experiment_ID],1):genotypes[[#This Row],[experiment_ID]],genotypes[[#This Row],[experiment_ID]]), "")</f>
        <v>1</v>
      </c>
      <c r="D5" t="s">
        <v>6438</v>
      </c>
      <c r="E5" t="s">
        <v>1436</v>
      </c>
      <c r="G5" t="s">
        <v>6444</v>
      </c>
      <c r="H5" t="s">
        <v>600</v>
      </c>
    </row>
    <row r="6" spans="1:8" x14ac:dyDescent="0.25">
      <c r="A6" t="s">
        <v>6436</v>
      </c>
      <c r="B6" cm="1">
        <f t="array" ref="B6">IF(ROW() &lt; ROW(INDEX(genotypes[experiment_ID],ROWS(genotypes[experiment_ID]))), COUNTIF(INDEX(genotypes[experiment_ID],1):genotypes[[#This Row],[experiment_ID]],genotypes[[#This Row],[experiment_ID]]), "")</f>
        <v>2</v>
      </c>
      <c r="D6" t="s">
        <v>6437</v>
      </c>
      <c r="E6" t="s">
        <v>1436</v>
      </c>
      <c r="G6" t="s">
        <v>6445</v>
      </c>
      <c r="H6" t="s">
        <v>600</v>
      </c>
    </row>
    <row r="7" spans="1:8" x14ac:dyDescent="0.25">
      <c r="A7" t="s">
        <v>6978</v>
      </c>
      <c r="B7" cm="1">
        <f t="array" ref="B7">IF(ROW() &lt; ROW(INDEX(genotypes[experiment_ID],ROWS(genotypes[experiment_ID]))), COUNTIF(INDEX(genotypes[experiment_ID],1):genotypes[[#This Row],[experiment_ID]],genotypes[[#This Row],[experiment_ID]]), "")</f>
        <v>1</v>
      </c>
      <c r="D7" t="s">
        <v>6996</v>
      </c>
      <c r="E7" t="s">
        <v>1440</v>
      </c>
      <c r="G7" t="s">
        <v>6449</v>
      </c>
      <c r="H7" t="s">
        <v>681</v>
      </c>
    </row>
    <row r="8" spans="1:8" x14ac:dyDescent="0.25">
      <c r="B8" t="str" cm="1">
        <f t="array" ref="B8">IF(ROW() &lt; ROW(INDEX(genotypes[experiment_ID],ROWS(genotypes[experiment_ID]))), COUNTIF(INDEX(genotypes[experiment_ID],1):genotypes[[#This Row],[experiment_ID]],genotypes[[#This Row],[experiment_ID]]), "")</f>
        <v/>
      </c>
    </row>
  </sheetData>
  <mergeCells count="1">
    <mergeCell ref="A1:H1"/>
  </mergeCells>
  <phoneticPr fontId="23" type="noConversion"/>
  <dataValidations count="2">
    <dataValidation allowBlank="1" showDropDown="1" showInputMessage="1" showErrorMessage="1" sqref="M5:P5 I5:K7 B5:C8 F5:G8" xr:uid="{98E97757-5517-4F35-9624-2D78B7E1338B}"/>
    <dataValidation type="list" allowBlank="1" showInputMessage="1" showErrorMessage="1" sqref="A5:A8"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L5:L7 H5:H8</xm:sqref>
        </x14:dataValidation>
        <x14:dataValidation type="list" allowBlank="1" showInputMessage="1" showErrorMessage="1" xr:uid="{6E30661D-D111-4DC5-9A74-5CAB778B9CD6}">
          <x14:formula1>
            <xm:f>DropDown!$R$3:$R$169</xm:f>
          </x14:formula1>
          <xm:sqref>E5:E8</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EECFA1"/>
  </sheetPr>
  <dimension ref="A1:O7"/>
  <sheetViews>
    <sheetView workbookViewId="0">
      <pane ySplit="4" topLeftCell="A5" activePane="bottomLeft" state="frozen"/>
      <selection pane="bottomLeft" activeCell="N7" sqref="N7"/>
    </sheetView>
  </sheetViews>
  <sheetFormatPr defaultRowHeight="15" x14ac:dyDescent="0.25"/>
  <cols>
    <col min="1" max="1" width="13.7109375" customWidth="1"/>
    <col min="2" max="2" width="11.7109375" customWidth="1"/>
    <col min="3" max="26" width="20.7109375" customWidth="1"/>
  </cols>
  <sheetData>
    <row r="1" spans="1:15" ht="150" customHeight="1" x14ac:dyDescent="0.25">
      <c r="A1" s="165" t="s">
        <v>6694</v>
      </c>
      <c r="B1" s="165"/>
      <c r="C1" s="165"/>
      <c r="D1" s="165"/>
      <c r="E1" s="165"/>
      <c r="F1" s="165"/>
      <c r="G1" s="165"/>
      <c r="H1" s="165"/>
    </row>
    <row r="2" spans="1:15" ht="28.5" customHeight="1" x14ac:dyDescent="0.25">
      <c r="A2" s="36"/>
      <c r="B2" s="36"/>
    </row>
    <row r="3" spans="1:15" s="82" customFormat="1" ht="32.25" customHeight="1" x14ac:dyDescent="0.25">
      <c r="A3" s="21" t="s">
        <v>1927</v>
      </c>
      <c r="B3" s="21" t="s">
        <v>1926</v>
      </c>
      <c r="C3" s="21" t="s">
        <v>1921</v>
      </c>
      <c r="D3" s="21" t="s">
        <v>1952</v>
      </c>
      <c r="E3" s="21" t="s">
        <v>362</v>
      </c>
      <c r="F3" s="21" t="s">
        <v>3797</v>
      </c>
      <c r="G3" s="21" t="s">
        <v>1936</v>
      </c>
      <c r="H3" s="21" t="s">
        <v>3798</v>
      </c>
      <c r="I3" s="21" t="s">
        <v>1945</v>
      </c>
      <c r="J3" s="167" t="s">
        <v>1939</v>
      </c>
      <c r="K3" s="166" t="s">
        <v>1940</v>
      </c>
      <c r="L3" s="171" t="s">
        <v>1941</v>
      </c>
      <c r="M3" s="22" t="s">
        <v>1953</v>
      </c>
      <c r="N3" s="21" t="s">
        <v>1899</v>
      </c>
    </row>
    <row r="4" spans="1:15" x14ac:dyDescent="0.25">
      <c r="A4" s="4" t="s">
        <v>93</v>
      </c>
      <c r="B4" s="4" t="s">
        <v>119</v>
      </c>
      <c r="C4" s="61" t="s">
        <v>148</v>
      </c>
      <c r="D4" s="4" t="s">
        <v>150</v>
      </c>
      <c r="E4" s="4" t="s">
        <v>141</v>
      </c>
      <c r="F4" s="4" t="s">
        <v>2617</v>
      </c>
      <c r="G4" s="4" t="s">
        <v>142</v>
      </c>
      <c r="H4" s="4" t="s">
        <v>2618</v>
      </c>
      <c r="I4" s="4" t="s">
        <v>143</v>
      </c>
      <c r="J4" s="4" t="s">
        <v>144</v>
      </c>
      <c r="K4" s="4" t="s">
        <v>145</v>
      </c>
      <c r="L4" s="4" t="s">
        <v>146</v>
      </c>
      <c r="M4" s="4" t="s">
        <v>151</v>
      </c>
      <c r="N4" s="4" t="s">
        <v>152</v>
      </c>
      <c r="O4" s="4"/>
    </row>
    <row r="5" spans="1:15" x14ac:dyDescent="0.25">
      <c r="A5" t="s">
        <v>6436</v>
      </c>
      <c r="B5" cm="1">
        <f t="array" ref="B5">IF(ROW() &lt; ROW(INDEX(fields[experiment_ID],ROWS(fields[experiment_ID]))), COUNTIF(INDEX(fields[experiment_ID],1):fields[[#This Row],[experiment_ID]],fields[[#This Row],[experiment_ID]]), "")</f>
        <v>1</v>
      </c>
      <c r="E5" t="s">
        <v>6446</v>
      </c>
      <c r="G5" t="s">
        <v>1742</v>
      </c>
      <c r="H5" t="s">
        <v>6434</v>
      </c>
      <c r="I5" t="s">
        <v>6435</v>
      </c>
    </row>
    <row r="6" spans="1:15" x14ac:dyDescent="0.25">
      <c r="A6" t="s">
        <v>6978</v>
      </c>
      <c r="B6" cm="1">
        <f t="array" ref="B6">IF(ROW() &lt; ROW(INDEX(fields[experiment_ID],ROWS(fields[experiment_ID]))), COUNTIF(INDEX(fields[experiment_ID],1):fields[[#This Row],[experiment_ID]],fields[[#This Row],[experiment_ID]]), "")</f>
        <v>1</v>
      </c>
      <c r="G6" t="s">
        <v>1802</v>
      </c>
      <c r="I6" t="s">
        <v>6997</v>
      </c>
      <c r="J6">
        <v>52.53998</v>
      </c>
      <c r="K6">
        <v>5.56189</v>
      </c>
      <c r="M6" t="s">
        <v>728</v>
      </c>
      <c r="N6" t="s">
        <v>6998</v>
      </c>
    </row>
    <row r="7" spans="1:15" x14ac:dyDescent="0.25">
      <c r="B7" t="str" cm="1">
        <f t="array" ref="B7">IF(ROW() &lt; ROW(INDEX(fields[experiment_ID],ROWS(fields[experiment_ID]))), COUNTIF(INDEX(fields[experiment_ID],1):fields[[#This Row],[experiment_ID]],fields[[#This Row],[experiment_ID]]), "")</f>
        <v/>
      </c>
    </row>
  </sheetData>
  <mergeCells count="1">
    <mergeCell ref="A1:H1"/>
  </mergeCells>
  <phoneticPr fontId="23" type="noConversion"/>
  <conditionalFormatting sqref="C4">
    <cfRule type="duplicateValues" dxfId="10" priority="1"/>
  </conditionalFormatting>
  <conditionalFormatting sqref="C4">
    <cfRule type="duplicateValues" dxfId="9" priority="2"/>
  </conditionalFormatting>
  <dataValidations count="9">
    <dataValidation type="list" allowBlank="1" showInputMessage="1" showErrorMessage="1" sqref="A5:A7" xr:uid="{7DE526A4-8075-40A8-961B-8606D83E1661}">
      <formula1>ddl_experiments</formula1>
    </dataValidation>
    <dataValidation allowBlank="1" showDropDown="1" showInputMessage="1" showErrorMessage="1" sqref="O5:O6 B5:F7 G6:L6" xr:uid="{9CE43FE6-840A-4C84-A6BF-8984F0544B46}"/>
    <dataValidation allowBlank="1" showDropDown="1" showInputMessage="1" showErrorMessage="1" sqref="G5 G7" xr:uid="{21B8232B-B25B-45E6-9E12-01E751350BD7}"/>
    <dataValidation allowBlank="1" showDropDown="1" showInputMessage="1" showErrorMessage="1" sqref="H5 H7" xr:uid="{DC323262-2DED-448D-A41F-D8241C64C140}"/>
    <dataValidation allowBlank="1" showDropDown="1" showInputMessage="1" showErrorMessage="1" sqref="I5 I7" xr:uid="{A7E931B3-E671-4A87-963E-DC08F40CED7B}"/>
    <dataValidation allowBlank="1" showDropDown="1" showInputMessage="1" showErrorMessage="1" sqref="J5 J7" xr:uid="{35C867EB-D9B6-49FC-9A21-5A103A80ED8E}"/>
    <dataValidation allowBlank="1" showDropDown="1" showInputMessage="1" showErrorMessage="1" sqref="K5 K7" xr:uid="{40768B97-F5DE-4170-8F61-3825B6004B24}"/>
    <dataValidation allowBlank="1" showDropDown="1" showInputMessage="1" showErrorMessage="1" sqref="L5 L7" xr:uid="{B0A9DFEE-58A7-44E1-85D3-01C0995A57F0}"/>
    <dataValidation allowBlank="1" showDropDown="1" showInputMessage="1" showErrorMessage="1" sqref="N5:N7" xr:uid="{63DDE048-5944-4122-911E-FB751A6BE739}"/>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533708F7-7E5C-4862-BBF7-0D3C0D146996}">
          <x14:formula1>
            <xm:f>DropDown!$U$3:$U$25</xm:f>
          </x14:formula1>
          <xm:sqref>M5 M7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7"/>
  <sheetViews>
    <sheetView zoomScaleNormal="100" workbookViewId="0">
      <pane ySplit="4" topLeftCell="A5" activePane="bottomLeft" state="frozen"/>
      <selection pane="bottomLeft" activeCell="B6" sqref="B6"/>
    </sheetView>
  </sheetViews>
  <sheetFormatPr defaultRowHeight="15" x14ac:dyDescent="0.25"/>
  <cols>
    <col min="1" max="1" width="13.7109375" customWidth="1"/>
    <col min="2" max="2" width="11.7109375" customWidth="1"/>
    <col min="3" max="26" width="20.7109375" customWidth="1"/>
  </cols>
  <sheetData>
    <row r="1" spans="1:14" ht="150" customHeight="1" x14ac:dyDescent="0.25">
      <c r="A1" s="165" t="s">
        <v>6695</v>
      </c>
      <c r="B1" s="165"/>
      <c r="C1" s="165"/>
      <c r="D1" s="165"/>
      <c r="E1" s="165"/>
      <c r="F1" s="165"/>
      <c r="G1" s="165"/>
      <c r="H1" s="165"/>
    </row>
    <row r="2" spans="1:14" ht="28.5" customHeight="1" x14ac:dyDescent="0.25">
      <c r="A2" s="36"/>
      <c r="B2" s="36"/>
    </row>
    <row r="3" spans="1:14" s="89" customFormat="1" ht="32.25" customHeight="1" x14ac:dyDescent="0.25">
      <c r="A3" s="21" t="s">
        <v>1927</v>
      </c>
      <c r="B3" s="21" t="s">
        <v>1926</v>
      </c>
      <c r="C3" s="21" t="s">
        <v>6453</v>
      </c>
      <c r="D3" s="21" t="s">
        <v>2061</v>
      </c>
      <c r="E3" s="21" t="s">
        <v>1899</v>
      </c>
      <c r="F3" s="21" t="s">
        <v>3796</v>
      </c>
      <c r="G3" s="21"/>
      <c r="H3" s="21"/>
      <c r="I3" s="21"/>
      <c r="J3" s="22"/>
      <c r="K3" s="21"/>
      <c r="M3" s="22"/>
      <c r="N3" s="21"/>
    </row>
    <row r="4" spans="1:14" x14ac:dyDescent="0.25">
      <c r="A4" s="4" t="s">
        <v>93</v>
      </c>
      <c r="B4" s="4" t="s">
        <v>127</v>
      </c>
      <c r="C4" s="4" t="s">
        <v>1980</v>
      </c>
      <c r="D4" s="4" t="s">
        <v>1986</v>
      </c>
      <c r="E4" s="4" t="s">
        <v>1984</v>
      </c>
      <c r="F4" s="4" t="s">
        <v>2765</v>
      </c>
    </row>
    <row r="5" spans="1:14" x14ac:dyDescent="0.25">
      <c r="A5" t="s">
        <v>6436</v>
      </c>
      <c r="B5" cm="1">
        <f t="array" ref="B5">IF(ROW() &lt; ROW(INDEX(tillage[experiment_ID],ROWS(tillage[experiment_ID]))), COUNTIF(INDEX(tillage[experiment_ID],1):tillage[[#This Row],[experiment_ID]],tillage[[#This Row],[experiment_ID]]), "")</f>
        <v>1</v>
      </c>
      <c r="C5" t="s">
        <v>6441</v>
      </c>
      <c r="E5" t="s">
        <v>6448</v>
      </c>
      <c r="F5">
        <v>1</v>
      </c>
    </row>
    <row r="6" spans="1:14" x14ac:dyDescent="0.25">
      <c r="A6" t="s">
        <v>6436</v>
      </c>
      <c r="B6" cm="1">
        <f t="array" ref="B6">IF(ROW() &lt; ROW(INDEX(tillage[experiment_ID],ROWS(tillage[experiment_ID]))), COUNTIF(INDEX(tillage[experiment_ID],1):tillage[[#This Row],[experiment_ID]],tillage[[#This Row],[experiment_ID]]), "")</f>
        <v>2</v>
      </c>
      <c r="C6" t="s">
        <v>6442</v>
      </c>
      <c r="E6" t="s">
        <v>6448</v>
      </c>
      <c r="F6">
        <v>1</v>
      </c>
    </row>
    <row r="7" spans="1:14" x14ac:dyDescent="0.25">
      <c r="B7" t="str" cm="1">
        <f t="array" ref="B7">IF(ROW() &lt; ROW(INDEX(tillage[experiment_ID],ROWS(tillage[experiment_ID]))), COUNTIF(INDEX(tillage[experiment_ID],1):tillage[[#This Row],[experiment_ID]],tillage[[#This Row],[experiment_ID]]), "")</f>
        <v/>
      </c>
    </row>
  </sheetData>
  <mergeCells count="1">
    <mergeCell ref="A1:H1"/>
  </mergeCells>
  <dataValidations count="2">
    <dataValidation type="list" allowBlank="1" showInputMessage="1" showErrorMessage="1" sqref="A5:A7" xr:uid="{E43E2678-ED7F-4D76-93EB-84FE93CF2104}">
      <formula1>ddl_experiments</formula1>
    </dataValidation>
    <dataValidation allowBlank="1" showDropDown="1" showInputMessage="1" showErrorMessage="1" sqref="B5:F7"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R7"/>
  <sheetViews>
    <sheetView workbookViewId="0">
      <pane ySplit="4" topLeftCell="A5" activePane="bottomLeft" state="frozen"/>
      <selection activeCell="D8" sqref="D8"/>
      <selection pane="bottomLeft" activeCell="B5" sqref="B5"/>
    </sheetView>
  </sheetViews>
  <sheetFormatPr defaultRowHeight="15" x14ac:dyDescent="0.25"/>
  <cols>
    <col min="1" max="1" width="13.7109375" customWidth="1"/>
    <col min="2" max="2" width="11.7109375" customWidth="1"/>
    <col min="3" max="26" width="20.7109375" customWidth="1"/>
  </cols>
  <sheetData>
    <row r="1" spans="1:18" ht="150" customHeight="1" x14ac:dyDescent="0.25">
      <c r="A1" s="165" t="s">
        <v>6696</v>
      </c>
      <c r="B1" s="165"/>
      <c r="C1" s="165"/>
      <c r="D1" s="165"/>
      <c r="E1" s="165"/>
      <c r="F1" s="165"/>
      <c r="G1" s="165"/>
      <c r="H1" s="165"/>
    </row>
    <row r="2" spans="1:18" ht="28.5" customHeight="1" x14ac:dyDescent="0.25">
      <c r="A2" s="36"/>
      <c r="B2" s="36"/>
    </row>
    <row r="3" spans="1:18" s="89" customFormat="1" ht="32.25" customHeight="1" x14ac:dyDescent="0.25">
      <c r="A3" s="21" t="s">
        <v>1927</v>
      </c>
      <c r="B3" s="21" t="s">
        <v>1954</v>
      </c>
      <c r="C3" s="21" t="s">
        <v>1991</v>
      </c>
      <c r="D3" s="21" t="s">
        <v>2063</v>
      </c>
      <c r="E3" s="21" t="s">
        <v>1987</v>
      </c>
      <c r="F3" s="21" t="s">
        <v>1983</v>
      </c>
      <c r="G3" s="21"/>
      <c r="H3" s="21"/>
      <c r="I3" s="21"/>
      <c r="J3" s="22"/>
      <c r="K3" s="21"/>
      <c r="M3" s="22"/>
      <c r="N3" s="21"/>
    </row>
    <row r="4" spans="1:18" x14ac:dyDescent="0.25">
      <c r="A4" s="4" t="s">
        <v>93</v>
      </c>
      <c r="B4" s="4" t="s">
        <v>127</v>
      </c>
      <c r="C4" s="4" t="s">
        <v>1990</v>
      </c>
      <c r="D4" s="4" t="s">
        <v>1989</v>
      </c>
      <c r="E4" s="4" t="s">
        <v>1981</v>
      </c>
      <c r="F4" s="4" t="s">
        <v>1982</v>
      </c>
      <c r="G4" s="4"/>
      <c r="H4" s="4"/>
      <c r="I4" s="4"/>
      <c r="J4" s="4"/>
      <c r="K4" s="4"/>
      <c r="L4" s="4"/>
      <c r="M4" s="4"/>
      <c r="N4" s="4"/>
      <c r="O4" s="4"/>
      <c r="P4" s="4"/>
      <c r="Q4" s="4"/>
      <c r="R4" s="4"/>
    </row>
    <row r="5" spans="1:18" x14ac:dyDescent="0.25">
      <c r="A5" t="s">
        <v>6436</v>
      </c>
      <c r="B5">
        <v>1</v>
      </c>
      <c r="C5" t="s">
        <v>6447</v>
      </c>
      <c r="D5" s="27">
        <v>45202</v>
      </c>
      <c r="E5" t="s">
        <v>2531</v>
      </c>
      <c r="F5">
        <v>15</v>
      </c>
      <c r="O5" s="27"/>
    </row>
    <row r="6" spans="1:18" x14ac:dyDescent="0.25">
      <c r="A6" t="s">
        <v>6436</v>
      </c>
      <c r="B6">
        <v>2</v>
      </c>
      <c r="C6" t="s">
        <v>6447</v>
      </c>
      <c r="D6" s="27">
        <v>45278</v>
      </c>
      <c r="E6" t="s">
        <v>2531</v>
      </c>
      <c r="F6">
        <v>15</v>
      </c>
      <c r="O6" s="27"/>
    </row>
    <row r="7" spans="1:18" x14ac:dyDescent="0.25">
      <c r="D7" s="27"/>
      <c r="O7" s="27"/>
    </row>
  </sheetData>
  <mergeCells count="1">
    <mergeCell ref="A1:H1"/>
  </mergeCells>
  <phoneticPr fontId="23" type="noConversion"/>
  <dataValidations count="2">
    <dataValidation type="list" allowBlank="1" showInputMessage="1" showErrorMessage="1" sqref="Q5:Q7" xr:uid="{D0910D1C-E574-4035-B613-61DF96805912}">
      <formula1>ddl_tillageImplement_sort</formula1>
    </dataValidation>
    <dataValidation allowBlank="1" showDropDown="1" showInputMessage="1" showErrorMessage="1" sqref="F5:J7 C5:D7"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_xlfn.ANCHORARRAY(DynamicDropDown!$BO$3)</xm:f>
          </x14:formula1>
          <xm:sqref>A5:A7</xm:sqref>
        </x14:dataValidation>
        <x14:dataValidation type="list" allowBlank="1" showInputMessage="1" showErrorMessage="1" xr:uid="{13FCC897-7A3D-4AA2-AB5D-EA3F630069E9}">
          <x14:formula1>
            <xm:f>_xlfn.ANCHORARRAY(_xlfn.XLOOKUP($A5,DynamicDropDown!$BO$3:$CI$3,DynamicDropDown!$BO$4:$CI$4))</xm:f>
          </x14:formula1>
          <xm:sqref>B5:B7</xm:sqref>
        </x14:dataValidation>
        <x14:dataValidation type="list" allowBlank="1" showInputMessage="1" showErrorMessage="1" xr:uid="{53BFB7D7-DCB3-493C-80AC-11C641D16AF2}">
          <x14:formula1>
            <xm:f>DropDown!$AD$3:$AD$40</xm:f>
          </x14:formula1>
          <xm:sqref>E5:E7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EECFA1"/>
  </sheetPr>
  <dimension ref="A1:N6"/>
  <sheetViews>
    <sheetView zoomScaleNormal="100" workbookViewId="0">
      <pane ySplit="4" topLeftCell="A5" activePane="bottomLeft" state="frozen"/>
      <selection pane="bottomLeft" activeCell="E18" sqref="E18"/>
    </sheetView>
  </sheetViews>
  <sheetFormatPr defaultRowHeight="15" x14ac:dyDescent="0.25"/>
  <cols>
    <col min="1" max="1" width="13.7109375" customWidth="1"/>
    <col min="2" max="2" width="11.7109375" customWidth="1"/>
    <col min="3" max="4" width="20.7109375" customWidth="1"/>
    <col min="5" max="5" width="27" bestFit="1" customWidth="1"/>
    <col min="6" max="6" width="20.7109375" customWidth="1"/>
    <col min="7" max="7" width="27" bestFit="1" customWidth="1"/>
    <col min="8" max="8" width="23.28515625" bestFit="1" customWidth="1"/>
    <col min="9" max="26" width="20.7109375" customWidth="1"/>
  </cols>
  <sheetData>
    <row r="1" spans="1:14" ht="150" customHeight="1" x14ac:dyDescent="0.25">
      <c r="A1" s="165" t="s">
        <v>6697</v>
      </c>
      <c r="B1" s="165"/>
      <c r="C1" s="165"/>
      <c r="D1" s="165"/>
      <c r="E1" s="165"/>
      <c r="F1" s="165"/>
      <c r="G1" s="165"/>
      <c r="H1" s="165"/>
    </row>
    <row r="2" spans="1:14" ht="29.45" customHeight="1" x14ac:dyDescent="0.25">
      <c r="A2" s="36"/>
      <c r="B2" s="36"/>
    </row>
    <row r="3" spans="1:14" s="89" customFormat="1" ht="32.25" customHeight="1" x14ac:dyDescent="0.25">
      <c r="A3" s="21" t="s">
        <v>1927</v>
      </c>
      <c r="B3" s="21" t="s">
        <v>1926</v>
      </c>
      <c r="C3" s="21" t="s">
        <v>6454</v>
      </c>
      <c r="D3" s="168" t="s">
        <v>3297</v>
      </c>
      <c r="E3" s="168" t="s">
        <v>3298</v>
      </c>
      <c r="F3" s="168" t="s">
        <v>3295</v>
      </c>
      <c r="G3" s="168" t="s">
        <v>3294</v>
      </c>
      <c r="H3" s="168" t="s">
        <v>3293</v>
      </c>
      <c r="I3" s="168" t="s">
        <v>3289</v>
      </c>
      <c r="J3" s="22"/>
      <c r="K3" s="21"/>
      <c r="M3" s="22"/>
      <c r="N3" s="21"/>
    </row>
    <row r="4" spans="1:14" x14ac:dyDescent="0.25">
      <c r="A4" s="4" t="s">
        <v>93</v>
      </c>
      <c r="B4" s="4" t="s">
        <v>121</v>
      </c>
      <c r="C4" s="4" t="s">
        <v>155</v>
      </c>
      <c r="D4" s="4" t="s">
        <v>2596</v>
      </c>
      <c r="E4" s="4" t="s">
        <v>2670</v>
      </c>
      <c r="F4" s="4" t="s">
        <v>2669</v>
      </c>
      <c r="G4" s="4" t="s">
        <v>2672</v>
      </c>
      <c r="H4" s="4" t="s">
        <v>2671</v>
      </c>
      <c r="I4" s="4" t="s">
        <v>2673</v>
      </c>
      <c r="J4" s="4"/>
      <c r="L4" s="4"/>
    </row>
    <row r="5" spans="1:14" x14ac:dyDescent="0.25">
      <c r="A5" t="s">
        <v>6436</v>
      </c>
      <c r="B5" cm="1">
        <f t="array" ref="B5">IF(ROW() &lt; ROW(INDEX(initialConditions[experiment_ID],ROWS(initialConditions[experiment_ID]))), COUNTIF(INDEX(initialConditions[experiment_ID],1):initialConditions[[#This Row],[experiment_ID]],initialConditions[[#This Row],[experiment_ID]]), "")</f>
        <v>1</v>
      </c>
      <c r="D5" t="s">
        <v>1350</v>
      </c>
      <c r="J5" s="30"/>
    </row>
    <row r="6" spans="1:14" x14ac:dyDescent="0.25">
      <c r="B6" t="str" cm="1">
        <f t="array" ref="B6">IF(ROW() &lt; ROW(INDEX(initialConditions[experiment_ID],ROWS(initialConditions[experiment_ID]))), COUNTIF(INDEX(initialConditions[experiment_ID],1):initialConditions[[#This Row],[experiment_ID]],initialConditions[[#This Row],[experiment_ID]]), "")</f>
        <v/>
      </c>
      <c r="J6" s="30"/>
    </row>
  </sheetData>
  <mergeCells count="1">
    <mergeCell ref="A1:H1"/>
  </mergeCells>
  <dataValidations count="8">
    <dataValidation type="list" allowBlank="1" showInputMessage="1" showErrorMessage="1" sqref="K5:K6" xr:uid="{ADD58850-0A2F-4D8A-B130-22E3977256AE}">
      <formula1>ddl_crop_sort</formula1>
    </dataValidation>
    <dataValidation type="list" allowBlank="1" showInputMessage="1" showErrorMessage="1" sqref="A5:A6" xr:uid="{4824FF39-E6CA-4583-824F-66DE90006201}">
      <formula1>ddl_experiments</formula1>
    </dataValidation>
    <dataValidation allowBlank="1" showDropDown="1" showInputMessage="1" showErrorMessage="1" sqref="B5:C6" xr:uid="{C10AB2A1-84AD-4B26-A92A-48D7789F5CF6}"/>
    <dataValidation allowBlank="1" showDropDown="1" showInputMessage="1" showErrorMessage="1" sqref="E5:E6" xr:uid="{E1BC2E7C-9925-4C01-9FFB-23CB9D980107}"/>
    <dataValidation allowBlank="1" showDropDown="1" showInputMessage="1" showErrorMessage="1" sqref="F5:F6" xr:uid="{DDF326B7-8B6B-4384-8A85-9F35D93B3A53}"/>
    <dataValidation allowBlank="1" showDropDown="1" showInputMessage="1" showErrorMessage="1" sqref="G5:G6" xr:uid="{189D0B78-B74E-434B-BC35-784A110E9E69}"/>
    <dataValidation allowBlank="1" showDropDown="1" showInputMessage="1" showErrorMessage="1" sqref="H5:H6" xr:uid="{8C6052DA-36A5-411B-B561-E59F803BBF07}"/>
    <dataValidation allowBlank="1" showDropDown="1" showInputMessage="1" showErrorMessage="1" sqref="I5:I6" xr:uid="{5C6A0343-5B37-4768-9053-B00A26BE45C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EECFA1"/>
  </sheetPr>
  <dimension ref="A1:N5"/>
  <sheetViews>
    <sheetView workbookViewId="0">
      <pane ySplit="4" topLeftCell="A5" activePane="bottomLeft" state="frozen"/>
      <selection pane="bottomLeft" activeCell="H6" sqref="H6"/>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65" t="s">
        <v>6698</v>
      </c>
      <c r="B1" s="165"/>
      <c r="C1" s="165"/>
      <c r="D1" s="165"/>
      <c r="E1" s="165"/>
      <c r="F1" s="165"/>
      <c r="G1" s="165"/>
      <c r="H1" s="165"/>
    </row>
    <row r="2" spans="1:14" ht="28.5" customHeight="1" x14ac:dyDescent="0.25">
      <c r="A2" s="36"/>
      <c r="B2" s="36"/>
    </row>
    <row r="3" spans="1:14" s="89" customFormat="1" ht="32.25" customHeight="1" x14ac:dyDescent="0.25">
      <c r="A3" s="21" t="s">
        <v>1927</v>
      </c>
      <c r="B3" s="21" t="s">
        <v>1954</v>
      </c>
      <c r="C3" s="21" t="s">
        <v>1893</v>
      </c>
      <c r="D3" s="166" t="s">
        <v>1894</v>
      </c>
      <c r="E3" s="168" t="s">
        <v>1895</v>
      </c>
      <c r="F3" s="21" t="s">
        <v>3286</v>
      </c>
      <c r="G3" s="21" t="s">
        <v>6455</v>
      </c>
      <c r="H3" s="21" t="s">
        <v>6456</v>
      </c>
      <c r="I3" s="168" t="s">
        <v>3287</v>
      </c>
      <c r="J3" s="22"/>
      <c r="K3" s="21"/>
      <c r="M3" s="22"/>
      <c r="N3" s="21"/>
    </row>
    <row r="4" spans="1:14" x14ac:dyDescent="0.25">
      <c r="A4" s="4" t="s">
        <v>93</v>
      </c>
      <c r="B4" s="4" t="s">
        <v>121</v>
      </c>
      <c r="C4" s="4" t="s">
        <v>159</v>
      </c>
      <c r="D4" s="4" t="s">
        <v>160</v>
      </c>
      <c r="E4" s="4" t="s">
        <v>161</v>
      </c>
      <c r="F4" s="4" t="s">
        <v>162</v>
      </c>
      <c r="G4" s="4" t="s">
        <v>2688</v>
      </c>
      <c r="H4" s="4" t="s">
        <v>2689</v>
      </c>
      <c r="I4" s="4" t="s">
        <v>2692</v>
      </c>
      <c r="J4" s="4"/>
      <c r="K4" s="4"/>
      <c r="L4" s="4"/>
      <c r="M4" s="4"/>
    </row>
    <row r="5" spans="1:14" x14ac:dyDescent="0.25">
      <c r="J5" s="11"/>
      <c r="K5" s="11"/>
      <c r="L5" s="12"/>
      <c r="M5" s="10"/>
    </row>
  </sheetData>
  <mergeCells count="1">
    <mergeCell ref="A1:H1"/>
  </mergeCells>
  <dataValidations count="6">
    <dataValidation allowBlank="1" showDropDown="1" showInputMessage="1" showErrorMessage="1" sqref="C5:D5" xr:uid="{46580EBE-ED3E-4824-9B03-C1193606F0BD}"/>
    <dataValidation allowBlank="1" showDropDown="1" showInputMessage="1" showErrorMessage="1" sqref="E5" xr:uid="{6CAFBA37-0A6F-4530-A7A4-62752FECE64C}"/>
    <dataValidation allowBlank="1" showDropDown="1" showInputMessage="1" showErrorMessage="1" sqref="F5" xr:uid="{6231ABD2-B471-4CCD-9C36-9073252B12D0}"/>
    <dataValidation allowBlank="1" showDropDown="1" showInputMessage="1" showErrorMessage="1" sqref="G5" xr:uid="{678E4B19-1F5F-499E-8714-91383140A1B5}"/>
    <dataValidation allowBlank="1" showDropDown="1" showInputMessage="1" showErrorMessage="1" sqref="H5" xr:uid="{57621349-688E-4946-BF5B-EFE762DD1465}"/>
    <dataValidation allowBlank="1" showDropDown="1" showInputMessage="1" showErrorMessage="1" sqref="I5" xr:uid="{360A3629-730C-481D-9D03-F0808411D6BE}"/>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_xlfn.ANCHORARRAY(DynamicDropDown!$DZ$3)</xm:f>
          </x14:formula1>
          <xm:sqref>A5</xm:sqref>
        </x14:dataValidation>
        <x14:dataValidation type="list" allowBlank="1" showInputMessage="1" showErrorMessage="1" xr:uid="{54400DBF-855B-4304-A3B7-E3060095BA99}">
          <x14:formula1>
            <xm:f>_xlfn.ANCHORARRAY(_xlfn.XLOOKUP($A5,DynamicDropDown!$DZ$3:$ET$3,DynamicDropDown!$DZ$4:$ET$4))</xm:f>
          </x14:formula1>
          <xm:sqref>B5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B14"/>
  <sheetViews>
    <sheetView workbookViewId="0">
      <pane ySplit="4" topLeftCell="A5" activePane="bottomLeft" state="frozen"/>
      <selection pane="bottomLeft" activeCell="K18" sqref="K18"/>
    </sheetView>
  </sheetViews>
  <sheetFormatPr defaultRowHeight="15" x14ac:dyDescent="0.25"/>
  <cols>
    <col min="1" max="1" width="13.7109375" customWidth="1"/>
    <col min="2" max="2" width="10.7109375" customWidth="1"/>
    <col min="3" max="3" width="25.85546875" bestFit="1" customWidth="1"/>
    <col min="4" max="26" width="20.7109375" customWidth="1"/>
  </cols>
  <sheetData>
    <row r="1" spans="1:28" ht="150" customHeight="1" x14ac:dyDescent="0.25">
      <c r="A1" s="165" t="s">
        <v>6699</v>
      </c>
      <c r="B1" s="165"/>
      <c r="C1" s="165"/>
      <c r="D1" s="165"/>
      <c r="E1" s="165"/>
      <c r="F1" s="165"/>
      <c r="G1" s="165"/>
      <c r="H1" s="165"/>
    </row>
    <row r="2" spans="1:28" ht="28.5" customHeight="1" x14ac:dyDescent="0.25">
      <c r="A2" s="36"/>
      <c r="B2" s="36"/>
    </row>
    <row r="3" spans="1:28" s="82" customFormat="1" ht="32.25" customHeight="1" x14ac:dyDescent="0.25">
      <c r="A3" s="21" t="s">
        <v>1927</v>
      </c>
      <c r="B3" s="21" t="s">
        <v>1926</v>
      </c>
      <c r="C3" s="21" t="s">
        <v>6464</v>
      </c>
      <c r="D3" s="166" t="s">
        <v>3322</v>
      </c>
      <c r="E3" s="166" t="s">
        <v>3805</v>
      </c>
      <c r="F3" s="21" t="s">
        <v>3328</v>
      </c>
      <c r="G3" s="21" t="s">
        <v>3329</v>
      </c>
      <c r="H3" s="21" t="s">
        <v>1898</v>
      </c>
      <c r="I3" s="21" t="s">
        <v>3332</v>
      </c>
      <c r="J3" s="22" t="s">
        <v>3338</v>
      </c>
      <c r="K3" s="21" t="s">
        <v>1899</v>
      </c>
      <c r="L3" s="82" t="s">
        <v>3341</v>
      </c>
      <c r="M3" s="22"/>
      <c r="N3" s="21"/>
    </row>
    <row r="4" spans="1:28" x14ac:dyDescent="0.25">
      <c r="A4" s="4" t="s">
        <v>93</v>
      </c>
      <c r="B4" s="4" t="s">
        <v>122</v>
      </c>
      <c r="C4" s="4" t="s">
        <v>167</v>
      </c>
      <c r="D4" s="4" t="s">
        <v>166</v>
      </c>
      <c r="E4" s="4" t="s">
        <v>168</v>
      </c>
      <c r="F4" s="4" t="s">
        <v>169</v>
      </c>
      <c r="G4" s="4" t="s">
        <v>170</v>
      </c>
      <c r="H4" s="4" t="s">
        <v>173</v>
      </c>
      <c r="I4" s="4" t="s">
        <v>2704</v>
      </c>
      <c r="J4" s="4" t="s">
        <v>2710</v>
      </c>
      <c r="K4" s="4" t="s">
        <v>2712</v>
      </c>
      <c r="L4" s="4" t="s">
        <v>2701</v>
      </c>
      <c r="M4" s="4"/>
      <c r="N4" s="4"/>
      <c r="O4" s="4"/>
      <c r="P4" s="4"/>
      <c r="Q4" s="4"/>
      <c r="R4" s="4"/>
      <c r="S4" s="4"/>
      <c r="T4" s="4"/>
      <c r="U4" s="4"/>
      <c r="V4" s="4"/>
      <c r="W4" s="4"/>
      <c r="X4" s="4"/>
      <c r="Y4" s="4"/>
      <c r="Z4" s="4"/>
      <c r="AA4" s="4"/>
      <c r="AB4" s="4"/>
    </row>
    <row r="5" spans="1:28" x14ac:dyDescent="0.25">
      <c r="A5" t="s">
        <v>6436</v>
      </c>
      <c r="B5" cm="1">
        <f t="array" ref="B5">IF(ROW() &lt; ROW(INDEX(plantings[experiment_ID],ROWS(plantings[experiment_ID]))), COUNTIF(INDEX(plantings[experiment_ID],1):plantings[[#This Row],[experiment_ID]],plantings[[#This Row],[experiment_ID]]), "")</f>
        <v>1</v>
      </c>
      <c r="C5" t="s">
        <v>6465</v>
      </c>
      <c r="D5" s="27">
        <v>45202</v>
      </c>
      <c r="E5">
        <v>369.93</v>
      </c>
      <c r="F5" t="s">
        <v>604</v>
      </c>
      <c r="G5" t="s">
        <v>606</v>
      </c>
      <c r="H5">
        <v>15</v>
      </c>
      <c r="I5">
        <v>1.79</v>
      </c>
      <c r="J5">
        <v>93</v>
      </c>
      <c r="K5" t="s">
        <v>6440</v>
      </c>
      <c r="L5" t="s">
        <v>6439</v>
      </c>
      <c r="U5" s="30"/>
    </row>
    <row r="6" spans="1:28" x14ac:dyDescent="0.25">
      <c r="A6" t="s">
        <v>6436</v>
      </c>
      <c r="B6" cm="1">
        <f t="array" ref="B6">IF(ROW() &lt; ROW(INDEX(plantings[experiment_ID],ROWS(plantings[experiment_ID]))), COUNTIF(INDEX(plantings[experiment_ID],1):plantings[[#This Row],[experiment_ID]],plantings[[#This Row],[experiment_ID]]), "")</f>
        <v>2</v>
      </c>
      <c r="C6" t="s">
        <v>6466</v>
      </c>
      <c r="D6" s="27">
        <v>45279</v>
      </c>
      <c r="E6">
        <v>401.18</v>
      </c>
      <c r="F6" t="s">
        <v>604</v>
      </c>
      <c r="G6" t="s">
        <v>606</v>
      </c>
      <c r="H6">
        <v>15</v>
      </c>
      <c r="I6">
        <v>1.76</v>
      </c>
      <c r="J6">
        <v>93</v>
      </c>
      <c r="K6" t="s">
        <v>6440</v>
      </c>
      <c r="L6" t="s">
        <v>6439</v>
      </c>
      <c r="U6" s="30"/>
    </row>
    <row r="7" spans="1:28" x14ac:dyDescent="0.25">
      <c r="A7" t="s">
        <v>6978</v>
      </c>
      <c r="B7" cm="1">
        <f t="array" ref="B7">IF(ROW() &lt; ROW(INDEX(plantings[experiment_ID],ROWS(plantings[experiment_ID]))), COUNTIF(INDEX(plantings[experiment_ID],1):plantings[[#This Row],[experiment_ID]],plantings[[#This Row],[experiment_ID]]), "")</f>
        <v>1</v>
      </c>
      <c r="C7" t="s">
        <v>6999</v>
      </c>
      <c r="D7" s="27">
        <v>28052</v>
      </c>
      <c r="E7" s="134">
        <v>5</v>
      </c>
      <c r="F7" t="s">
        <v>604</v>
      </c>
      <c r="G7" t="s">
        <v>606</v>
      </c>
      <c r="H7">
        <v>25</v>
      </c>
      <c r="K7" t="s">
        <v>7006</v>
      </c>
    </row>
    <row r="8" spans="1:28" x14ac:dyDescent="0.25">
      <c r="A8" t="s">
        <v>6978</v>
      </c>
      <c r="B8" cm="1">
        <f t="array" ref="B8">IF(ROW() &lt; ROW(INDEX(plantings[experiment_ID],ROWS(plantings[experiment_ID]))), COUNTIF(INDEX(plantings[experiment_ID],1):plantings[[#This Row],[experiment_ID]],plantings[[#This Row],[experiment_ID]]), "")</f>
        <v>2</v>
      </c>
      <c r="C8" t="s">
        <v>7000</v>
      </c>
      <c r="D8" s="27">
        <v>28052</v>
      </c>
      <c r="E8" s="134">
        <v>25</v>
      </c>
      <c r="F8" t="s">
        <v>604</v>
      </c>
      <c r="G8" t="s">
        <v>606</v>
      </c>
      <c r="H8">
        <v>25</v>
      </c>
      <c r="I8" s="176"/>
      <c r="J8" s="176"/>
      <c r="K8" t="s">
        <v>7006</v>
      </c>
      <c r="L8" s="176"/>
    </row>
    <row r="9" spans="1:28" x14ac:dyDescent="0.25">
      <c r="A9" t="s">
        <v>6978</v>
      </c>
      <c r="B9" cm="1">
        <f t="array" ref="B9">IF(ROW() &lt; ROW(INDEX(plantings[experiment_ID],ROWS(plantings[experiment_ID]))), COUNTIF(INDEX(plantings[experiment_ID],1):plantings[[#This Row],[experiment_ID]],plantings[[#This Row],[experiment_ID]]), "")</f>
        <v>3</v>
      </c>
      <c r="C9" t="s">
        <v>7001</v>
      </c>
      <c r="D9" s="27">
        <v>28052</v>
      </c>
      <c r="E9" s="134">
        <v>50</v>
      </c>
      <c r="F9" t="s">
        <v>604</v>
      </c>
      <c r="G9" t="s">
        <v>606</v>
      </c>
      <c r="H9">
        <v>25</v>
      </c>
      <c r="I9" s="176"/>
      <c r="J9" s="176"/>
      <c r="K9" t="s">
        <v>7006</v>
      </c>
      <c r="L9" s="176"/>
    </row>
    <row r="10" spans="1:28" x14ac:dyDescent="0.25">
      <c r="A10" t="s">
        <v>6978</v>
      </c>
      <c r="B10" cm="1">
        <f t="array" ref="B10">IF(ROW() &lt; ROW(INDEX(plantings[experiment_ID],ROWS(plantings[experiment_ID]))), COUNTIF(INDEX(plantings[experiment_ID],1):plantings[[#This Row],[experiment_ID]],plantings[[#This Row],[experiment_ID]]), "")</f>
        <v>4</v>
      </c>
      <c r="C10" t="s">
        <v>7002</v>
      </c>
      <c r="D10" s="27">
        <v>28052</v>
      </c>
      <c r="E10" s="134">
        <v>100</v>
      </c>
      <c r="F10" t="s">
        <v>604</v>
      </c>
      <c r="G10" t="s">
        <v>606</v>
      </c>
      <c r="H10">
        <v>25</v>
      </c>
      <c r="I10" s="176"/>
      <c r="J10" s="176"/>
      <c r="K10" t="s">
        <v>7006</v>
      </c>
      <c r="L10" s="176"/>
    </row>
    <row r="11" spans="1:28" x14ac:dyDescent="0.25">
      <c r="A11" t="s">
        <v>6978</v>
      </c>
      <c r="B11" cm="1">
        <f t="array" ref="B11">IF(ROW() &lt; ROW(INDEX(plantings[experiment_ID],ROWS(plantings[experiment_ID]))), COUNTIF(INDEX(plantings[experiment_ID],1):plantings[[#This Row],[experiment_ID]],plantings[[#This Row],[experiment_ID]]), "")</f>
        <v>5</v>
      </c>
      <c r="C11" t="s">
        <v>7003</v>
      </c>
      <c r="D11" s="27">
        <v>28052</v>
      </c>
      <c r="E11" s="134">
        <v>200</v>
      </c>
      <c r="F11" t="s">
        <v>604</v>
      </c>
      <c r="G11" t="s">
        <v>606</v>
      </c>
      <c r="H11">
        <v>25</v>
      </c>
      <c r="I11" s="176"/>
      <c r="J11" s="176"/>
      <c r="K11" t="s">
        <v>7006</v>
      </c>
      <c r="L11" s="176"/>
    </row>
    <row r="12" spans="1:28" x14ac:dyDescent="0.25">
      <c r="A12" t="s">
        <v>6978</v>
      </c>
      <c r="B12" cm="1">
        <f t="array" ref="B12">IF(ROW() &lt; ROW(INDEX(plantings[experiment_ID],ROWS(plantings[experiment_ID]))), COUNTIF(INDEX(plantings[experiment_ID],1):plantings[[#This Row],[experiment_ID]],plantings[[#This Row],[experiment_ID]]), "")</f>
        <v>6</v>
      </c>
      <c r="C12" t="s">
        <v>7004</v>
      </c>
      <c r="D12" s="27">
        <v>28052</v>
      </c>
      <c r="E12" s="134">
        <v>400</v>
      </c>
      <c r="F12" t="s">
        <v>604</v>
      </c>
      <c r="G12" t="s">
        <v>606</v>
      </c>
      <c r="H12">
        <v>25</v>
      </c>
      <c r="I12" s="176"/>
      <c r="J12" s="176"/>
      <c r="K12" t="s">
        <v>7006</v>
      </c>
      <c r="L12" s="176"/>
    </row>
    <row r="13" spans="1:28" x14ac:dyDescent="0.25">
      <c r="A13" t="s">
        <v>6978</v>
      </c>
      <c r="B13" cm="1">
        <f t="array" ref="B13">IF(ROW() &lt; ROW(INDEX(plantings[experiment_ID],ROWS(plantings[experiment_ID]))), COUNTIF(INDEX(plantings[experiment_ID],1):plantings[[#This Row],[experiment_ID]],plantings[[#This Row],[experiment_ID]]), "")</f>
        <v>7</v>
      </c>
      <c r="C13" t="s">
        <v>7005</v>
      </c>
      <c r="D13" s="27">
        <v>28052</v>
      </c>
      <c r="E13" s="134">
        <v>800</v>
      </c>
      <c r="F13" t="s">
        <v>604</v>
      </c>
      <c r="G13" t="s">
        <v>606</v>
      </c>
      <c r="H13">
        <v>25</v>
      </c>
      <c r="I13" s="176"/>
      <c r="J13" s="176"/>
      <c r="K13" t="s">
        <v>7006</v>
      </c>
      <c r="L13" s="176"/>
    </row>
    <row r="14" spans="1:28" x14ac:dyDescent="0.25">
      <c r="B14" t="str" cm="1">
        <f t="array" ref="B14">IF(ROW() &lt; ROW(INDEX(plantings[experiment_ID],ROWS(plantings[experiment_ID]))), COUNTIF(INDEX(plantings[experiment_ID],1):plantings[[#This Row],[experiment_ID]],plantings[[#This Row],[experiment_ID]]), "")</f>
        <v/>
      </c>
      <c r="C14" s="176"/>
      <c r="D14" s="27"/>
      <c r="E14" s="176"/>
      <c r="F14" s="176"/>
      <c r="G14" s="176"/>
      <c r="H14" s="176"/>
      <c r="I14" s="176"/>
      <c r="J14" s="176"/>
      <c r="K14" s="176"/>
      <c r="L14" s="176"/>
    </row>
  </sheetData>
  <mergeCells count="1">
    <mergeCell ref="A1:H1"/>
  </mergeCells>
  <dataValidations count="4">
    <dataValidation type="list" allowBlank="1" showInputMessage="1" showErrorMessage="1" sqref="X5:X6" xr:uid="{4670395B-F257-40AD-A75C-6504E0C96816}">
      <formula1>ddl_plantingMaterial</formula1>
    </dataValidation>
    <dataValidation type="list" allowBlank="1" showInputMessage="1" showErrorMessage="1" sqref="Y5:Y6" xr:uid="{38B25EC0-1748-41B5-8807-C28FD4AF9421}">
      <formula1>ddl_plantingDistribution</formula1>
    </dataValidation>
    <dataValidation type="list" allowBlank="1" showInputMessage="1" showErrorMessage="1" sqref="A5:A14" xr:uid="{52033A2A-83EB-4AD9-B420-B9992C75C05E}">
      <formula1>ddl_experiments</formula1>
    </dataValidation>
    <dataValidation allowBlank="1" showDropDown="1" showInputMessage="1" showErrorMessage="1" sqref="P5:T7 H5:M7 B5:E14 H8:L14" xr:uid="{B7527842-1F0C-4DB4-BF3C-157A61E662C4}"/>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DropDown!$AO$3:$AO$11</xm:f>
          </x14:formula1>
          <xm:sqref>N5:N7 F7:F14</xm:sqref>
        </x14:dataValidation>
        <x14:dataValidation type="list" allowBlank="1" showInputMessage="1" showErrorMessage="1" xr:uid="{F81D0C17-3975-4867-BB0B-0B9B68FE9311}">
          <x14:formula1>
            <xm:f>DropDown!$AR$3:$AR$8</xm:f>
          </x14:formula1>
          <xm:sqref>O5:O7 G7:G14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7"/>
  <sheetViews>
    <sheetView zoomScaleNormal="100" workbookViewId="0">
      <pane ySplit="4" topLeftCell="A5" activePane="bottomLeft" state="frozen"/>
      <selection pane="bottomLeft" activeCell="D6" sqref="D6"/>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65" t="s">
        <v>6700</v>
      </c>
      <c r="B1" s="165"/>
      <c r="C1" s="165"/>
      <c r="D1" s="165"/>
      <c r="E1" s="165"/>
      <c r="F1" s="165"/>
      <c r="G1" s="165"/>
      <c r="H1" s="165"/>
    </row>
    <row r="2" spans="1:14" ht="28.5" customHeight="1" x14ac:dyDescent="0.25">
      <c r="A2" s="36"/>
      <c r="B2" s="36"/>
    </row>
    <row r="3" spans="1:14" s="89" customFormat="1" ht="32.25" customHeight="1" x14ac:dyDescent="0.25">
      <c r="A3" s="21" t="s">
        <v>1927</v>
      </c>
      <c r="B3" s="21" t="s">
        <v>1926</v>
      </c>
      <c r="C3" s="21" t="s">
        <v>6460</v>
      </c>
      <c r="D3" s="21" t="s">
        <v>3321</v>
      </c>
      <c r="E3" s="21"/>
      <c r="F3" s="21"/>
      <c r="G3" s="21"/>
      <c r="H3" s="21"/>
      <c r="I3" s="21"/>
      <c r="J3" s="22"/>
      <c r="K3" s="21"/>
      <c r="M3" s="22"/>
      <c r="N3" s="21"/>
    </row>
    <row r="4" spans="1:14" x14ac:dyDescent="0.25">
      <c r="A4" s="4" t="s">
        <v>93</v>
      </c>
      <c r="B4" s="4" t="s">
        <v>123</v>
      </c>
      <c r="C4" s="4" t="s">
        <v>174</v>
      </c>
      <c r="D4" s="4" t="s">
        <v>2714</v>
      </c>
      <c r="E4" s="4"/>
      <c r="F4" s="4"/>
      <c r="G4" s="4"/>
    </row>
    <row r="5" spans="1:14" x14ac:dyDescent="0.25">
      <c r="A5" t="s">
        <v>6436</v>
      </c>
      <c r="B5" cm="1">
        <f t="array" ref="B5">IF(ROW() &lt; ROW(INDEX(irrigation[experiment_ID],ROWS(irrigation[experiment_ID]))), COUNTIF(INDEX(irrigation[experiment_ID],1):irrigation[[#This Row],[experiment_ID]],irrigation[[#This Row],[experiment_ID]]), "")</f>
        <v>1</v>
      </c>
      <c r="C5" t="s">
        <v>6467</v>
      </c>
      <c r="D5" t="s">
        <v>643</v>
      </c>
    </row>
    <row r="6" spans="1:14" x14ac:dyDescent="0.25">
      <c r="A6" t="s">
        <v>6978</v>
      </c>
      <c r="B6" cm="1">
        <f t="array" ref="B6">IF(ROW() &lt; ROW(INDEX(irrigation[experiment_ID],ROWS(irrigation[experiment_ID]))), COUNTIF(INDEX(irrigation[experiment_ID],1):irrigation[[#This Row],[experiment_ID]],irrigation[[#This Row],[experiment_ID]]), "")</f>
        <v>1</v>
      </c>
      <c r="C6" t="s">
        <v>6467</v>
      </c>
      <c r="D6" t="s">
        <v>643</v>
      </c>
    </row>
    <row r="7" spans="1:14" x14ac:dyDescent="0.25">
      <c r="B7" s="176" t="str" cm="1">
        <f t="array" ref="B7">IF(ROW() &lt; ROW(INDEX(irrigation[experiment_ID],ROWS(irrigation[experiment_ID]))), COUNTIF(INDEX(irrigation[experiment_ID],1):irrigation[[#This Row],[experiment_ID]],irrigation[[#This Row],[experiment_ID]]), "")</f>
        <v/>
      </c>
      <c r="C7" s="176"/>
      <c r="D7" s="176"/>
    </row>
  </sheetData>
  <mergeCells count="1">
    <mergeCell ref="A1:H1"/>
  </mergeCells>
  <dataValidations count="2">
    <dataValidation type="list" allowBlank="1" showInputMessage="1" showErrorMessage="1" sqref="A5:A7" xr:uid="{C33EEDC2-6BF4-4F8C-9144-C1881BFB46A2}">
      <formula1>ddl_experiments</formula1>
    </dataValidation>
    <dataValidation allowBlank="1" showDropDown="1" showInputMessage="1" showErrorMessage="1" sqref="B5:C7"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D5:D7</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5"/>
  <sheetViews>
    <sheetView zoomScaleNormal="100" workbookViewId="0">
      <pane ySplit="4" topLeftCell="A5" activePane="bottomLeft" state="frozen"/>
      <selection pane="bottomLeft" activeCell="D3" sqref="D3"/>
    </sheetView>
  </sheetViews>
  <sheetFormatPr defaultRowHeight="15" x14ac:dyDescent="0.25"/>
  <cols>
    <col min="1" max="1" width="13.7109375" customWidth="1"/>
    <col min="2" max="2" width="10.7109375" customWidth="1"/>
    <col min="3" max="3" width="20.7109375" customWidth="1"/>
    <col min="4" max="4" width="17.140625" customWidth="1"/>
    <col min="5" max="26" width="20.7109375" customWidth="1"/>
  </cols>
  <sheetData>
    <row r="1" spans="1:14" ht="150" customHeight="1" x14ac:dyDescent="0.25">
      <c r="A1" s="165" t="s">
        <v>6701</v>
      </c>
      <c r="B1" s="165"/>
      <c r="C1" s="165"/>
      <c r="D1" s="165"/>
      <c r="E1" s="165"/>
      <c r="F1" s="165"/>
      <c r="G1" s="165"/>
      <c r="H1" s="165"/>
    </row>
    <row r="2" spans="1:14" ht="28.5" customHeight="1" x14ac:dyDescent="0.25">
      <c r="A2" s="36"/>
      <c r="B2" s="36"/>
    </row>
    <row r="3" spans="1:14" s="89" customFormat="1" ht="32.25" customHeight="1" x14ac:dyDescent="0.25">
      <c r="A3" s="21" t="s">
        <v>1927</v>
      </c>
      <c r="B3" s="21" t="s">
        <v>1954</v>
      </c>
      <c r="C3" s="174" t="s">
        <v>6461</v>
      </c>
      <c r="D3" s="172" t="s">
        <v>2063</v>
      </c>
      <c r="E3" s="172" t="s">
        <v>2055</v>
      </c>
      <c r="F3" s="172" t="s">
        <v>1892</v>
      </c>
      <c r="G3" s="21"/>
      <c r="H3" s="21"/>
      <c r="I3" s="21"/>
      <c r="J3" s="22"/>
      <c r="K3" s="21"/>
      <c r="M3" s="22"/>
      <c r="N3" s="21"/>
    </row>
    <row r="4" spans="1:14" x14ac:dyDescent="0.25">
      <c r="A4" s="4" t="s">
        <v>93</v>
      </c>
      <c r="B4" s="4" t="s">
        <v>123</v>
      </c>
      <c r="C4" s="4" t="s">
        <v>2719</v>
      </c>
      <c r="D4" s="169" t="s">
        <v>177</v>
      </c>
      <c r="E4" s="169" t="s">
        <v>178</v>
      </c>
      <c r="F4" s="169" t="s">
        <v>179</v>
      </c>
      <c r="G4" s="4"/>
    </row>
    <row r="5" spans="1:14" x14ac:dyDescent="0.25">
      <c r="A5" s="4"/>
      <c r="B5" s="4"/>
      <c r="C5" s="4"/>
      <c r="D5" s="169"/>
      <c r="E5" s="169"/>
      <c r="F5" s="169"/>
    </row>
  </sheetData>
  <mergeCells count="1">
    <mergeCell ref="A1:H1"/>
  </mergeCells>
  <conditionalFormatting sqref="D4:F4">
    <cfRule type="duplicateValues" dxfId="8" priority="1"/>
  </conditionalFormatting>
  <conditionalFormatting sqref="D4">
    <cfRule type="duplicateValues" dxfId="7" priority="2"/>
  </conditionalFormatting>
  <dataValidations count="2">
    <dataValidation type="list" allowBlank="1" showInputMessage="1" showErrorMessage="1" sqref="D5" xr:uid="{9A330B4E-253B-493F-B059-2302B4944F68}">
      <formula1>ddl_irrigationOperation</formula1>
    </dataValidation>
    <dataValidation allowBlank="1" showDropDown="1" showInputMessage="1" showErrorMessage="1" sqref="F5" xr:uid="{E3B66EFD-17D7-4C39-ACB8-008EEA54852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_xlfn.ANCHORARRAY(DynamicDropDown!$FP$3)</xm:f>
          </x14:formula1>
          <xm:sqref>A5</xm:sqref>
        </x14:dataValidation>
        <x14:dataValidation type="list" allowBlank="1" showInputMessage="1" showErrorMessage="1" xr:uid="{621CB7BE-8EB6-47B2-8C1C-509F09FCD8BB}">
          <x14:formula1>
            <xm:f>_xlfn.ANCHORARRAY(_xlfn.XLOOKUP($A5,DynamicDropDown!$FP$3:$GI$3,DynamicDropDown!$FP$4:$GI$4))</xm:f>
          </x14:formula1>
          <xm:sqref>B5</xm:sqref>
        </x14:dataValidation>
        <x14:dataValidation type="list" allowBlank="1" showInputMessage="1" showErrorMessage="1" xr:uid="{B8E196A7-3E4D-4C18-946C-7CAB2AA72E43}">
          <x14:formula1>
            <xm:f>DropDown!$AZ$3:$AZ$15</xm:f>
          </x14:formula1>
          <xm:sqref>E5</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84A86-BD59-47DB-AD0F-EEC7A0B8F634}">
  <sheetPr codeName="Sheet34">
    <tabColor rgb="FFEECFA1"/>
  </sheetPr>
  <dimension ref="A1:N5"/>
  <sheetViews>
    <sheetView zoomScaleNormal="100" workbookViewId="0">
      <pane ySplit="4" topLeftCell="A5" activePane="bottomLeft" state="frozen"/>
      <selection pane="bottomLeft" activeCell="E18" sqref="E18"/>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65" t="s">
        <v>6702</v>
      </c>
      <c r="B1" s="165"/>
      <c r="C1" s="165"/>
      <c r="D1" s="165"/>
      <c r="E1" s="165"/>
      <c r="F1" s="165"/>
      <c r="G1" s="165"/>
      <c r="H1" s="165"/>
    </row>
    <row r="2" spans="1:14" ht="28.5" customHeight="1" x14ac:dyDescent="0.25">
      <c r="A2" s="36"/>
      <c r="B2" s="36"/>
    </row>
    <row r="3" spans="1:14" s="89" customFormat="1" ht="32.25" customHeight="1" x14ac:dyDescent="0.25">
      <c r="A3" s="21" t="s">
        <v>1927</v>
      </c>
      <c r="B3" s="21" t="s">
        <v>1926</v>
      </c>
      <c r="C3" s="21" t="s">
        <v>6463</v>
      </c>
      <c r="D3" s="172" t="s">
        <v>2015</v>
      </c>
      <c r="E3" s="21" t="s">
        <v>1899</v>
      </c>
      <c r="F3" s="21"/>
      <c r="G3" s="21"/>
      <c r="H3" s="21"/>
      <c r="I3" s="21"/>
      <c r="J3" s="22"/>
      <c r="K3" s="21"/>
      <c r="M3" s="22"/>
      <c r="N3" s="21"/>
    </row>
    <row r="4" spans="1:14" x14ac:dyDescent="0.25">
      <c r="A4" s="4" t="s">
        <v>93</v>
      </c>
      <c r="B4" s="23" t="s">
        <v>125</v>
      </c>
      <c r="C4" s="24" t="s">
        <v>2013</v>
      </c>
      <c r="D4" s="24" t="s">
        <v>2014</v>
      </c>
      <c r="E4" s="24" t="s">
        <v>2012</v>
      </c>
    </row>
    <row r="5" spans="1:14" x14ac:dyDescent="0.25">
      <c r="B5" t="str" cm="1">
        <f t="array" ref="B5">IF(ROW() &lt; ROW(INDEX(organicMaterials[experiment_ID],ROWS(organicMaterials[experiment_ID]))), COUNTIF(INDEX(organicMaterials[experiment_ID],1):organicMaterials[[#This Row],[experiment_ID]],organicMaterials[[#This Row],[experiment_ID]]), "")</f>
        <v/>
      </c>
    </row>
  </sheetData>
  <mergeCells count="1">
    <mergeCell ref="A1:H1"/>
  </mergeCells>
  <dataValidations count="2">
    <dataValidation type="list" allowBlank="1" showInputMessage="1" showErrorMessage="1" sqref="A5" xr:uid="{F85EAE48-0A8F-41DD-98B1-498ABC566AFF}">
      <formula1>ddl_experiments</formula1>
    </dataValidation>
    <dataValidation allowBlank="1" showDropDown="1" showInputMessage="1" showErrorMessage="1" sqref="C5:E5" xr:uid="{CC4A77D4-A227-484F-BFC2-AFF2191BACD6}"/>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N5"/>
  <sheetViews>
    <sheetView workbookViewId="0">
      <pane ySplit="4" topLeftCell="A5" activePane="bottomLeft" state="frozen"/>
      <selection pane="bottomLeft" activeCell="K23" sqref="K23"/>
    </sheetView>
  </sheetViews>
  <sheetFormatPr defaultRowHeight="15" x14ac:dyDescent="0.25"/>
  <cols>
    <col min="1" max="1" width="13.7109375" customWidth="1"/>
    <col min="2" max="2" width="10.7109375" customWidth="1"/>
    <col min="3" max="25" width="20.7109375" customWidth="1"/>
  </cols>
  <sheetData>
    <row r="1" spans="1:14" ht="150" customHeight="1" x14ac:dyDescent="0.25">
      <c r="A1" s="165" t="s">
        <v>6703</v>
      </c>
      <c r="B1" s="165"/>
      <c r="C1" s="165"/>
      <c r="D1" s="165"/>
      <c r="E1" s="165"/>
      <c r="F1" s="165"/>
      <c r="G1" s="165"/>
      <c r="H1" s="165"/>
    </row>
    <row r="2" spans="1:14" ht="28.5" customHeight="1" x14ac:dyDescent="0.25">
      <c r="A2" s="36"/>
      <c r="B2" s="36"/>
    </row>
    <row r="3" spans="1:14" s="89" customFormat="1" ht="32.25" customHeight="1" x14ac:dyDescent="0.25">
      <c r="A3" s="21" t="s">
        <v>1927</v>
      </c>
      <c r="B3" s="21" t="s">
        <v>1954</v>
      </c>
      <c r="C3" s="172" t="s">
        <v>2063</v>
      </c>
      <c r="D3" s="172" t="s">
        <v>2023</v>
      </c>
      <c r="E3" s="172" t="s">
        <v>2021</v>
      </c>
      <c r="F3" s="172" t="s">
        <v>2025</v>
      </c>
      <c r="G3" s="168" t="s">
        <v>3387</v>
      </c>
      <c r="H3" s="168" t="s">
        <v>2030</v>
      </c>
      <c r="I3" s="21"/>
      <c r="J3" s="21"/>
      <c r="L3" s="22"/>
      <c r="M3" s="21"/>
    </row>
    <row r="4" spans="1:14" x14ac:dyDescent="0.25">
      <c r="A4" s="4" t="s">
        <v>93</v>
      </c>
      <c r="B4" s="23" t="s">
        <v>125</v>
      </c>
      <c r="C4" s="4" t="s">
        <v>2016</v>
      </c>
      <c r="D4" s="4" t="s">
        <v>2022</v>
      </c>
      <c r="E4" s="4" t="s">
        <v>2020</v>
      </c>
      <c r="F4" s="4" t="s">
        <v>2024</v>
      </c>
      <c r="G4" s="4" t="s">
        <v>2751</v>
      </c>
      <c r="H4" s="4" t="s">
        <v>2026</v>
      </c>
      <c r="I4" s="4"/>
      <c r="J4" s="4"/>
      <c r="K4" s="4"/>
      <c r="L4" s="4"/>
      <c r="M4" s="4"/>
      <c r="N4" s="4"/>
    </row>
    <row r="5" spans="1:14" x14ac:dyDescent="0.25">
      <c r="A5" s="4"/>
      <c r="B5" s="23"/>
      <c r="C5" s="4"/>
      <c r="D5" s="4"/>
      <c r="E5" s="4"/>
      <c r="F5" s="4"/>
      <c r="G5" s="4"/>
      <c r="H5" s="4"/>
      <c r="I5" s="4"/>
      <c r="J5" s="4"/>
      <c r="K5" s="4"/>
      <c r="L5" s="4"/>
      <c r="M5" s="4"/>
      <c r="N5" s="4"/>
    </row>
  </sheetData>
  <mergeCells count="1">
    <mergeCell ref="A1:H1"/>
  </mergeCells>
  <phoneticPr fontId="23" type="noConversion"/>
  <dataValidations count="1">
    <dataValidation allowBlank="1" showDropDown="1" showInputMessage="1" showErrorMessage="1" sqref="K5:N5 E5:H5" xr:uid="{3CEECE2A-128E-4289-85A5-1D19F410A543}"/>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_xlfn.ANCHORARRAY(DynamicDropDown!$HE$3)</xm:f>
          </x14:formula1>
          <xm:sqref>A5</xm:sqref>
        </x14:dataValidation>
        <x14:dataValidation type="list" allowBlank="1" showInputMessage="1" showErrorMessage="1" xr:uid="{3E0AFE2F-D39A-47DB-A26E-38685006E5A7}">
          <x14:formula1>
            <xm:f>_xlfn.ANCHORARRAY(_xlfn.XLOOKUP($A5,DynamicDropDown!$HE$3:$HX$3,DynamicDropDown!$HE$4:$HX$4))</xm:f>
          </x14:formula1>
          <xm:sqref>B5</xm:sqref>
        </x14:dataValidation>
        <x14:dataValidation type="list" allowBlank="1" showInputMessage="1" showErrorMessage="1" xr:uid="{FBEF2495-4A92-4789-AAB0-94E2A6FCD9DD}">
          <x14:formula1>
            <xm:f>DropDown!$BC$3:$BC$37</xm:f>
          </x14:formula1>
          <xm:sqref>D5 I5:J5</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AD8"/>
  <sheetViews>
    <sheetView workbookViewId="0">
      <pane ySplit="4" topLeftCell="A5" activePane="bottomLeft" state="frozen"/>
      <selection pane="bottomLeft" activeCell="A5" sqref="A5:I6"/>
    </sheetView>
  </sheetViews>
  <sheetFormatPr defaultRowHeight="15" x14ac:dyDescent="0.25"/>
  <cols>
    <col min="1" max="1" width="13.7109375" customWidth="1"/>
    <col min="2" max="2" width="10.7109375" customWidth="1"/>
    <col min="3" max="3" width="23.28515625" bestFit="1" customWidth="1"/>
    <col min="4" max="4" width="22.28515625" bestFit="1" customWidth="1"/>
    <col min="5" max="26" width="20.7109375" customWidth="1"/>
  </cols>
  <sheetData>
    <row r="1" spans="1:30" ht="150" customHeight="1" x14ac:dyDescent="0.25">
      <c r="A1" s="165" t="s">
        <v>6704</v>
      </c>
      <c r="B1" s="165"/>
      <c r="C1" s="165"/>
      <c r="D1" s="165"/>
      <c r="E1" s="165"/>
      <c r="F1" s="165"/>
      <c r="G1" s="165"/>
      <c r="H1" s="165"/>
    </row>
    <row r="2" spans="1:30" ht="28.5" customHeight="1" x14ac:dyDescent="0.25">
      <c r="A2" s="36"/>
      <c r="B2" s="36"/>
    </row>
    <row r="3" spans="1:30" s="22" customFormat="1" ht="32.25" customHeight="1" x14ac:dyDescent="0.25">
      <c r="A3" s="21" t="s">
        <v>1927</v>
      </c>
      <c r="B3" s="21" t="s">
        <v>1926</v>
      </c>
      <c r="C3" s="21" t="s">
        <v>6457</v>
      </c>
      <c r="D3" s="21" t="s">
        <v>6742</v>
      </c>
      <c r="E3" s="21" t="s">
        <v>6735</v>
      </c>
      <c r="F3" s="21" t="s">
        <v>3249</v>
      </c>
      <c r="G3" s="21" t="s">
        <v>3251</v>
      </c>
      <c r="H3" s="21" t="s">
        <v>3250</v>
      </c>
      <c r="I3" s="21" t="s">
        <v>3252</v>
      </c>
      <c r="J3" s="22" t="s">
        <v>6736</v>
      </c>
      <c r="K3" s="21" t="s">
        <v>3254</v>
      </c>
      <c r="L3" s="22" t="s">
        <v>3255</v>
      </c>
      <c r="M3" s="22" t="s">
        <v>3256</v>
      </c>
      <c r="N3" s="21" t="s">
        <v>3257</v>
      </c>
      <c r="O3" s="22" t="s">
        <v>3260</v>
      </c>
      <c r="P3" s="22" t="s">
        <v>3258</v>
      </c>
      <c r="Q3" s="22" t="s">
        <v>3259</v>
      </c>
    </row>
    <row r="4" spans="1:30" ht="15" customHeight="1" x14ac:dyDescent="0.25">
      <c r="A4" s="4" t="s">
        <v>93</v>
      </c>
      <c r="B4" s="4" t="s">
        <v>124</v>
      </c>
      <c r="C4" s="107" t="s">
        <v>2056</v>
      </c>
      <c r="D4" s="108" t="s">
        <v>181</v>
      </c>
      <c r="E4" s="108" t="s">
        <v>182</v>
      </c>
      <c r="F4" s="108" t="s">
        <v>2720</v>
      </c>
      <c r="G4" s="108" t="s">
        <v>2734</v>
      </c>
      <c r="H4" s="108" t="s">
        <v>2722</v>
      </c>
      <c r="I4" s="108" t="s">
        <v>2723</v>
      </c>
      <c r="J4" s="108" t="s">
        <v>2724</v>
      </c>
      <c r="K4" s="108" t="s">
        <v>2728</v>
      </c>
      <c r="L4" s="108" t="s">
        <v>2726</v>
      </c>
      <c r="M4" s="108" t="s">
        <v>2731</v>
      </c>
      <c r="N4" s="108" t="s">
        <v>2727</v>
      </c>
      <c r="O4" s="108" t="s">
        <v>2730</v>
      </c>
      <c r="P4" s="108" t="s">
        <v>2725</v>
      </c>
      <c r="Q4" s="108" t="s">
        <v>2729</v>
      </c>
      <c r="R4" s="4"/>
      <c r="S4" s="4"/>
      <c r="T4" s="4"/>
      <c r="U4" s="4"/>
      <c r="V4" s="4"/>
      <c r="W4" s="4"/>
      <c r="X4" s="4"/>
      <c r="Y4" s="4"/>
      <c r="Z4" s="4"/>
      <c r="AA4" s="4"/>
      <c r="AB4" s="4"/>
      <c r="AC4" s="4"/>
      <c r="AD4" s="4"/>
    </row>
    <row r="5" spans="1:30" x14ac:dyDescent="0.25">
      <c r="A5" t="s">
        <v>6436</v>
      </c>
      <c r="B5" cm="1">
        <f t="array" ref="B5">IF(ROW() &lt; ROW(INDEX(fertilizers[experiment_ID],ROWS(fertilizers[experiment_ID]))), COUNTIF(INDEX(fertilizers[experiment_ID],1):fertilizers[[#This Row],[experiment_ID]],fertilizers[[#This Row],[experiment_ID]]), "")</f>
        <v>1</v>
      </c>
      <c r="C5" t="s">
        <v>6468</v>
      </c>
      <c r="D5" t="s">
        <v>609</v>
      </c>
      <c r="E5" s="101">
        <v>3</v>
      </c>
      <c r="F5" s="101">
        <v>345</v>
      </c>
      <c r="G5" s="101">
        <v>92.7</v>
      </c>
      <c r="H5" s="101">
        <v>3</v>
      </c>
      <c r="I5" s="101">
        <v>0</v>
      </c>
      <c r="J5" s="101">
        <v>0</v>
      </c>
      <c r="K5" s="101">
        <v>0</v>
      </c>
      <c r="L5" s="101">
        <v>0</v>
      </c>
      <c r="M5" s="101">
        <v>0</v>
      </c>
      <c r="N5" s="101">
        <v>0</v>
      </c>
      <c r="O5" s="101">
        <v>0</v>
      </c>
      <c r="P5" s="101">
        <v>18</v>
      </c>
      <c r="Q5" s="101">
        <v>0</v>
      </c>
    </row>
    <row r="6" spans="1:30" x14ac:dyDescent="0.25">
      <c r="A6" t="s">
        <v>6436</v>
      </c>
      <c r="B6" cm="1">
        <f t="array" ref="B6">IF(ROW() &lt; ROW(INDEX(fertilizers[experiment_ID],ROWS(fertilizers[experiment_ID]))), COUNTIF(INDEX(fertilizers[experiment_ID],1):fertilizers[[#This Row],[experiment_ID]],fertilizers[[#This Row],[experiment_ID]]), "")</f>
        <v>2</v>
      </c>
      <c r="C6" t="s">
        <v>6469</v>
      </c>
      <c r="D6" t="s">
        <v>609</v>
      </c>
      <c r="E6">
        <v>4</v>
      </c>
      <c r="F6">
        <v>545</v>
      </c>
      <c r="G6">
        <v>140.69999999999999</v>
      </c>
      <c r="H6">
        <v>4</v>
      </c>
      <c r="I6">
        <v>0</v>
      </c>
      <c r="J6">
        <v>0</v>
      </c>
      <c r="K6">
        <v>0</v>
      </c>
      <c r="L6">
        <v>0</v>
      </c>
      <c r="M6">
        <v>0</v>
      </c>
      <c r="N6">
        <v>0</v>
      </c>
      <c r="O6">
        <v>0</v>
      </c>
      <c r="P6">
        <v>30</v>
      </c>
      <c r="Q6">
        <v>0</v>
      </c>
    </row>
    <row r="7" spans="1:30" x14ac:dyDescent="0.25">
      <c r="A7" t="s">
        <v>6978</v>
      </c>
      <c r="B7" cm="1">
        <f t="array" ref="B7">IF(ROW() &lt; ROW(INDEX(fertilizers[experiment_ID],ROWS(fertilizers[experiment_ID]))), COUNTIF(INDEX(fertilizers[experiment_ID],1):fertilizers[[#This Row],[experiment_ID]],fertilizers[[#This Row],[experiment_ID]]), "")</f>
        <v>1</v>
      </c>
      <c r="C7" t="s">
        <v>7008</v>
      </c>
      <c r="D7" t="s">
        <v>609</v>
      </c>
    </row>
    <row r="8" spans="1:30" x14ac:dyDescent="0.25">
      <c r="B8" t="str" cm="1">
        <f t="array" ref="B8">IF(ROW() &lt; ROW(INDEX(fertilizers[experiment_ID],ROWS(fertilizers[experiment_ID]))), COUNTIF(INDEX(fertilizers[experiment_ID],1):fertilizers[[#This Row],[experiment_ID]],fertilizers[[#This Row],[experiment_ID]]), "")</f>
        <v/>
      </c>
    </row>
  </sheetData>
  <mergeCells count="1">
    <mergeCell ref="A1:H1"/>
  </mergeCells>
  <dataValidations count="15">
    <dataValidation type="list" allowBlank="1" showInputMessage="1" showErrorMessage="1" sqref="A5:A8" xr:uid="{E52E8DD2-F8D3-4B5C-981F-89FDF908E90A}">
      <formula1>ddl_experiments</formula1>
    </dataValidation>
    <dataValidation allowBlank="1" showDropDown="1" showInputMessage="1" showErrorMessage="1" sqref="X5:X7 Z5:AD7 R5:V7 E5:Q6" xr:uid="{3FE06FB2-2C7E-4663-8C52-0A9CA69C3823}"/>
    <dataValidation allowBlank="1" showDropDown="1" showInputMessage="1" showErrorMessage="1" sqref="E7:E8" xr:uid="{E3676886-38F7-4A4C-A4A6-3F4A816F2E1B}"/>
    <dataValidation allowBlank="1" showDropDown="1" showInputMessage="1" showErrorMessage="1" sqref="F7:F8" xr:uid="{736A0601-C618-47CE-AC50-ED2D911F3A91}"/>
    <dataValidation allowBlank="1" showDropDown="1" showInputMessage="1" showErrorMessage="1" sqref="G7:G8" xr:uid="{4454BE3B-B543-423C-B09A-C80AA58AC4BC}"/>
    <dataValidation allowBlank="1" showDropDown="1" showInputMessage="1" showErrorMessage="1" sqref="H7:H8" xr:uid="{9BB53926-5E5C-4107-BE9D-167423EE8AF2}"/>
    <dataValidation allowBlank="1" showDropDown="1" showInputMessage="1" showErrorMessage="1" sqref="I7:I8" xr:uid="{697FFF6E-A85A-4C25-B1BB-212C581E50DA}"/>
    <dataValidation allowBlank="1" showDropDown="1" showInputMessage="1" showErrorMessage="1" sqref="J7:J8" xr:uid="{A5683492-E7A8-4830-A9DE-111626124B97}"/>
    <dataValidation allowBlank="1" showDropDown="1" showInputMessage="1" showErrorMessage="1" sqref="K7:K8" xr:uid="{4E6821FC-580C-429C-BBD1-D4F36352BD69}"/>
    <dataValidation allowBlank="1" showDropDown="1" showInputMessage="1" showErrorMessage="1" sqref="L7:L8" xr:uid="{58CD8026-0BC3-4076-83E1-039A6968AED7}"/>
    <dataValidation allowBlank="1" showDropDown="1" showInputMessage="1" showErrorMessage="1" sqref="M7:M8" xr:uid="{AA71BD9F-165A-4B59-B924-61E0465CF229}"/>
    <dataValidation allowBlank="1" showDropDown="1" showInputMessage="1" showErrorMessage="1" sqref="N7:N8" xr:uid="{1D387CE2-3A30-495F-83B1-9940B8F0652A}"/>
    <dataValidation allowBlank="1" showDropDown="1" showInputMessage="1" showErrorMessage="1" sqref="O7:O8" xr:uid="{F164AC07-8AA2-45DC-AEDE-86F341D042C1}"/>
    <dataValidation allowBlank="1" showDropDown="1" showInputMessage="1" showErrorMessage="1" sqref="P7:P8" xr:uid="{FFB7BD12-CCA5-4FEC-8814-EB450A5EA2E0}"/>
    <dataValidation allowBlank="1" showDropDown="1" showInputMessage="1" showErrorMessage="1" sqref="Q7:Q8" xr:uid="{5F4973CA-B4E3-447E-AD0A-B49D2CBA519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Y5:Y7 D5:D8</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U12"/>
  <sheetViews>
    <sheetView workbookViewId="0">
      <pane ySplit="4" topLeftCell="A5" activePane="bottomLeft" state="frozen"/>
      <selection pane="bottomLeft" activeCell="B8" sqref="B8:G10"/>
    </sheetView>
  </sheetViews>
  <sheetFormatPr defaultRowHeight="15" x14ac:dyDescent="0.25"/>
  <cols>
    <col min="1" max="1" width="13.7109375" customWidth="1"/>
    <col min="2" max="2" width="10.7109375" customWidth="1"/>
    <col min="3" max="26" width="20.7109375" customWidth="1"/>
  </cols>
  <sheetData>
    <row r="1" spans="1:21" ht="150" customHeight="1" x14ac:dyDescent="0.25">
      <c r="A1" s="165" t="s">
        <v>6705</v>
      </c>
      <c r="B1" s="165"/>
      <c r="C1" s="165"/>
      <c r="D1" s="165"/>
      <c r="E1" s="165"/>
      <c r="F1" s="165"/>
      <c r="G1" s="165"/>
      <c r="H1" s="165"/>
    </row>
    <row r="2" spans="1:21" ht="28.5" customHeight="1" x14ac:dyDescent="0.25">
      <c r="A2" s="36"/>
      <c r="B2" s="36"/>
    </row>
    <row r="3" spans="1:21" s="22" customFormat="1" ht="32.25" customHeight="1" x14ac:dyDescent="0.25">
      <c r="A3" s="21" t="s">
        <v>1927</v>
      </c>
      <c r="B3" s="21" t="s">
        <v>1954</v>
      </c>
      <c r="C3" s="21" t="s">
        <v>6470</v>
      </c>
      <c r="D3" s="172" t="s">
        <v>2063</v>
      </c>
      <c r="E3" s="172" t="s">
        <v>2017</v>
      </c>
      <c r="F3" s="172" t="s">
        <v>1956</v>
      </c>
      <c r="G3" s="172" t="s">
        <v>1889</v>
      </c>
      <c r="H3" s="172" t="s">
        <v>3420</v>
      </c>
      <c r="I3" s="172" t="s">
        <v>1890</v>
      </c>
      <c r="J3" s="173" t="s">
        <v>3262</v>
      </c>
      <c r="K3" s="172" t="s">
        <v>3264</v>
      </c>
      <c r="L3" s="173" t="s">
        <v>3263</v>
      </c>
      <c r="M3" s="22" t="s">
        <v>3265</v>
      </c>
      <c r="N3" s="21" t="s">
        <v>3266</v>
      </c>
      <c r="O3" s="22" t="s">
        <v>3267</v>
      </c>
      <c r="P3" s="22" t="s">
        <v>3268</v>
      </c>
      <c r="Q3" s="22" t="s">
        <v>3269</v>
      </c>
      <c r="R3" s="22" t="s">
        <v>3270</v>
      </c>
      <c r="S3" s="22" t="s">
        <v>3271</v>
      </c>
      <c r="T3" s="22" t="s">
        <v>3272</v>
      </c>
      <c r="U3" s="22" t="s">
        <v>3273</v>
      </c>
    </row>
    <row r="4" spans="1:21" x14ac:dyDescent="0.25">
      <c r="A4" s="4" t="s">
        <v>93</v>
      </c>
      <c r="B4" s="4" t="s">
        <v>124</v>
      </c>
      <c r="C4" s="4" t="s">
        <v>192</v>
      </c>
      <c r="D4" s="4" t="s">
        <v>185</v>
      </c>
      <c r="E4" s="4" t="s">
        <v>186</v>
      </c>
      <c r="F4" s="4" t="s">
        <v>187</v>
      </c>
      <c r="G4" s="4" t="s">
        <v>188</v>
      </c>
      <c r="H4" s="4" t="s">
        <v>2737</v>
      </c>
      <c r="I4" s="4" t="s">
        <v>189</v>
      </c>
      <c r="J4" s="4" t="s">
        <v>2738</v>
      </c>
      <c r="K4" s="4" t="s">
        <v>2739</v>
      </c>
      <c r="L4" s="4" t="s">
        <v>2740</v>
      </c>
      <c r="M4" s="4" t="s">
        <v>190</v>
      </c>
      <c r="N4" s="4" t="s">
        <v>191</v>
      </c>
      <c r="O4" s="4" t="s">
        <v>2744</v>
      </c>
      <c r="P4" s="4" t="s">
        <v>2742</v>
      </c>
      <c r="Q4" s="4" t="s">
        <v>2747</v>
      </c>
      <c r="R4" s="4" t="s">
        <v>2743</v>
      </c>
      <c r="S4" s="4" t="s">
        <v>2746</v>
      </c>
      <c r="T4" s="4" t="s">
        <v>2741</v>
      </c>
      <c r="U4" s="4" t="s">
        <v>2745</v>
      </c>
    </row>
    <row r="5" spans="1:21" x14ac:dyDescent="0.25">
      <c r="A5" s="99" t="s">
        <v>6436</v>
      </c>
      <c r="B5" s="99">
        <v>1</v>
      </c>
      <c r="C5" t="s">
        <v>6472</v>
      </c>
      <c r="D5" s="100">
        <v>44991</v>
      </c>
      <c r="E5" s="99" t="s">
        <v>1033</v>
      </c>
      <c r="F5" t="s">
        <v>915</v>
      </c>
      <c r="H5" s="99">
        <v>100</v>
      </c>
      <c r="I5" s="99">
        <v>24</v>
      </c>
      <c r="J5">
        <v>12</v>
      </c>
      <c r="K5">
        <v>12</v>
      </c>
      <c r="L5">
        <v>0</v>
      </c>
      <c r="M5">
        <v>0</v>
      </c>
      <c r="N5">
        <v>0</v>
      </c>
      <c r="O5">
        <v>0</v>
      </c>
      <c r="P5">
        <v>0</v>
      </c>
      <c r="Q5">
        <v>0</v>
      </c>
      <c r="R5">
        <v>0</v>
      </c>
      <c r="S5">
        <v>0</v>
      </c>
      <c r="T5">
        <v>6</v>
      </c>
      <c r="U5">
        <v>0</v>
      </c>
    </row>
    <row r="6" spans="1:21" x14ac:dyDescent="0.25">
      <c r="A6" t="s">
        <v>6436</v>
      </c>
      <c r="B6">
        <v>1</v>
      </c>
      <c r="C6" t="s">
        <v>6471</v>
      </c>
      <c r="D6" s="27">
        <v>45041</v>
      </c>
      <c r="E6" t="s">
        <v>905</v>
      </c>
      <c r="F6" t="s">
        <v>915</v>
      </c>
      <c r="H6">
        <v>45</v>
      </c>
      <c r="I6">
        <v>20.7</v>
      </c>
      <c r="J6">
        <v>0</v>
      </c>
      <c r="K6">
        <v>0</v>
      </c>
      <c r="L6">
        <v>20.7</v>
      </c>
      <c r="M6">
        <v>0</v>
      </c>
      <c r="N6">
        <v>0</v>
      </c>
      <c r="O6">
        <v>0</v>
      </c>
      <c r="P6">
        <v>0</v>
      </c>
      <c r="Q6">
        <v>0</v>
      </c>
      <c r="R6">
        <v>0</v>
      </c>
      <c r="S6">
        <v>0</v>
      </c>
      <c r="T6">
        <v>0</v>
      </c>
      <c r="U6">
        <v>0</v>
      </c>
    </row>
    <row r="7" spans="1:21" x14ac:dyDescent="0.25">
      <c r="A7" s="101" t="s">
        <v>6436</v>
      </c>
      <c r="B7" s="101">
        <v>1</v>
      </c>
      <c r="C7" t="s">
        <v>6471</v>
      </c>
      <c r="D7" s="102">
        <v>45082</v>
      </c>
      <c r="E7" s="101" t="s">
        <v>1033</v>
      </c>
      <c r="F7" t="s">
        <v>915</v>
      </c>
      <c r="H7" s="101">
        <v>200</v>
      </c>
      <c r="I7" s="101">
        <v>48</v>
      </c>
      <c r="J7">
        <v>24</v>
      </c>
      <c r="K7">
        <v>24</v>
      </c>
      <c r="L7">
        <v>0</v>
      </c>
      <c r="M7">
        <v>0</v>
      </c>
      <c r="N7">
        <v>0</v>
      </c>
      <c r="O7">
        <v>0</v>
      </c>
      <c r="P7">
        <v>0</v>
      </c>
      <c r="Q7">
        <v>0</v>
      </c>
      <c r="R7">
        <v>0</v>
      </c>
      <c r="S7">
        <v>0</v>
      </c>
      <c r="T7">
        <v>12</v>
      </c>
      <c r="U7">
        <v>0</v>
      </c>
    </row>
    <row r="8" spans="1:21" x14ac:dyDescent="0.25">
      <c r="A8" t="s">
        <v>6436</v>
      </c>
      <c r="B8">
        <v>2</v>
      </c>
      <c r="C8" t="s">
        <v>6472</v>
      </c>
      <c r="D8" s="27">
        <v>44991</v>
      </c>
      <c r="E8" t="s">
        <v>1033</v>
      </c>
      <c r="F8" t="s">
        <v>915</v>
      </c>
      <c r="H8">
        <v>100</v>
      </c>
      <c r="I8">
        <v>24</v>
      </c>
      <c r="J8">
        <v>12</v>
      </c>
      <c r="K8">
        <v>12</v>
      </c>
      <c r="L8">
        <v>0</v>
      </c>
      <c r="M8">
        <v>0</v>
      </c>
      <c r="N8">
        <v>0</v>
      </c>
      <c r="O8">
        <v>0</v>
      </c>
      <c r="P8">
        <v>0</v>
      </c>
      <c r="Q8">
        <v>0</v>
      </c>
      <c r="R8">
        <v>0</v>
      </c>
      <c r="S8">
        <v>0</v>
      </c>
      <c r="T8">
        <v>6</v>
      </c>
      <c r="U8">
        <v>0</v>
      </c>
    </row>
    <row r="9" spans="1:21" x14ac:dyDescent="0.25">
      <c r="A9" s="101" t="s">
        <v>6436</v>
      </c>
      <c r="B9" s="101">
        <v>2</v>
      </c>
      <c r="C9" t="s">
        <v>6473</v>
      </c>
      <c r="D9" s="102">
        <v>45025</v>
      </c>
      <c r="E9" s="101" t="s">
        <v>1033</v>
      </c>
      <c r="F9" t="s">
        <v>915</v>
      </c>
      <c r="H9" s="101">
        <v>200</v>
      </c>
      <c r="I9" s="101">
        <v>48</v>
      </c>
      <c r="J9">
        <v>24</v>
      </c>
      <c r="K9">
        <v>24</v>
      </c>
      <c r="L9">
        <v>0</v>
      </c>
      <c r="M9">
        <v>0</v>
      </c>
      <c r="N9">
        <v>0</v>
      </c>
      <c r="O9">
        <v>0</v>
      </c>
      <c r="P9">
        <v>0</v>
      </c>
      <c r="Q9">
        <v>0</v>
      </c>
      <c r="R9">
        <v>0</v>
      </c>
      <c r="S9">
        <v>0</v>
      </c>
      <c r="T9">
        <v>12</v>
      </c>
      <c r="U9">
        <v>0</v>
      </c>
    </row>
    <row r="10" spans="1:21" x14ac:dyDescent="0.25">
      <c r="A10" t="s">
        <v>6436</v>
      </c>
      <c r="B10">
        <v>2</v>
      </c>
      <c r="C10" t="s">
        <v>6471</v>
      </c>
      <c r="D10" s="27">
        <v>45041</v>
      </c>
      <c r="E10" t="s">
        <v>905</v>
      </c>
      <c r="F10" t="s">
        <v>915</v>
      </c>
      <c r="H10">
        <v>45</v>
      </c>
      <c r="I10">
        <v>20.7</v>
      </c>
      <c r="J10">
        <v>0</v>
      </c>
      <c r="K10">
        <v>0</v>
      </c>
      <c r="L10">
        <v>20.7</v>
      </c>
      <c r="M10">
        <v>0</v>
      </c>
      <c r="N10">
        <v>0</v>
      </c>
      <c r="O10">
        <v>0</v>
      </c>
      <c r="P10">
        <v>0</v>
      </c>
      <c r="Q10">
        <v>0</v>
      </c>
      <c r="R10">
        <v>0</v>
      </c>
      <c r="S10">
        <v>0</v>
      </c>
      <c r="T10">
        <v>0</v>
      </c>
      <c r="U10">
        <v>0</v>
      </c>
    </row>
    <row r="11" spans="1:21" x14ac:dyDescent="0.25">
      <c r="A11" s="101" t="s">
        <v>6436</v>
      </c>
      <c r="B11" s="101">
        <v>2</v>
      </c>
      <c r="C11" t="s">
        <v>6474</v>
      </c>
      <c r="D11" s="102">
        <v>45082</v>
      </c>
      <c r="E11" s="101" t="s">
        <v>1033</v>
      </c>
      <c r="F11" t="s">
        <v>915</v>
      </c>
      <c r="H11" s="101">
        <v>200</v>
      </c>
      <c r="I11" s="101">
        <v>48</v>
      </c>
      <c r="J11">
        <v>24</v>
      </c>
      <c r="K11">
        <v>24</v>
      </c>
      <c r="L11">
        <v>0</v>
      </c>
      <c r="M11">
        <v>0</v>
      </c>
      <c r="N11">
        <v>0</v>
      </c>
      <c r="O11">
        <v>0</v>
      </c>
      <c r="P11">
        <v>0</v>
      </c>
      <c r="Q11">
        <v>0</v>
      </c>
      <c r="R11">
        <v>0</v>
      </c>
      <c r="S11">
        <v>0</v>
      </c>
      <c r="T11">
        <v>12</v>
      </c>
      <c r="U11">
        <v>0</v>
      </c>
    </row>
    <row r="12" spans="1:21" x14ac:dyDescent="0.25">
      <c r="D12" s="27"/>
    </row>
  </sheetData>
  <mergeCells count="1">
    <mergeCell ref="A1:H1"/>
  </mergeCells>
  <dataValidations count="1">
    <dataValidation allowBlank="1" showDropDown="1" showInputMessage="1" showErrorMessage="1" sqref="G5:U12 C5:D12" xr:uid="{EE10E536-EC9C-4C3A-B7D9-49D088D871CC}"/>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9B0A1E60-E3C1-413F-96C6-59AC5A0618F5}">
          <x14:formula1>
            <xm:f>_xlfn.ANCHORARRAY(DynamicDropDown!$IT$3)</xm:f>
          </x14:formula1>
          <xm:sqref>A12</xm:sqref>
        </x14:dataValidation>
        <x14:dataValidation type="list" allowBlank="1" showInputMessage="1" showErrorMessage="1" xr:uid="{92E98726-6C10-4352-9645-8CD6266E2E12}">
          <x14:formula1>
            <xm:f>_xlfn.ANCHORARRAY(_xlfn.XLOOKUP($A12,DynamicDropDown!$IT$3:$JM$3,DynamicDropDown!$IT$4:$JM$4))</xm:f>
          </x14:formula1>
          <xm:sqref>B12</xm:sqref>
        </x14:dataValidation>
        <x14:dataValidation type="list" allowBlank="1" showInputMessage="1" showErrorMessage="1" xr:uid="{5B82FC04-27AF-479F-9CB1-98E95531E0E7}">
          <x14:formula1>
            <xm:f>DropDown!$BF$3:$BF$143</xm:f>
          </x14:formula1>
          <xm:sqref>E12</xm:sqref>
        </x14:dataValidation>
        <x14:dataValidation type="list" allowBlank="1" showInputMessage="1" showErrorMessage="1" xr:uid="{1B0E04B9-11B9-42DD-BAFE-C8142EB8792C}">
          <x14:formula1>
            <xm:f>DropDown!$BI$3:$BI$22</xm:f>
          </x14:formula1>
          <xm:sqref>F5:F12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8"/>
  <sheetViews>
    <sheetView zoomScaleNormal="100" workbookViewId="0">
      <pane ySplit="4" topLeftCell="A5" activePane="bottomLeft" state="frozen"/>
      <selection pane="bottomLeft" activeCell="C8" sqref="C8"/>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65" t="s">
        <v>6706</v>
      </c>
      <c r="B1" s="165"/>
      <c r="C1" s="165"/>
      <c r="D1" s="165"/>
      <c r="E1" s="165"/>
      <c r="F1" s="165"/>
      <c r="G1" s="165"/>
      <c r="H1" s="165"/>
    </row>
    <row r="2" spans="1:14" ht="28.5" customHeight="1" x14ac:dyDescent="0.25">
      <c r="A2" s="36"/>
      <c r="B2" s="36"/>
    </row>
    <row r="3" spans="1:14" s="89" customFormat="1" ht="32.25" customHeight="1" x14ac:dyDescent="0.25">
      <c r="A3" s="21" t="s">
        <v>1927</v>
      </c>
      <c r="B3" s="21" t="s">
        <v>1926</v>
      </c>
      <c r="C3" s="21" t="s">
        <v>6475</v>
      </c>
      <c r="D3" s="21" t="s">
        <v>1899</v>
      </c>
      <c r="E3" s="21"/>
      <c r="F3" s="21"/>
      <c r="G3" s="21"/>
      <c r="H3" s="21"/>
      <c r="I3" s="21"/>
      <c r="J3" s="22"/>
      <c r="K3" s="21"/>
      <c r="M3" s="22"/>
      <c r="N3" s="21"/>
    </row>
    <row r="4" spans="1:14" x14ac:dyDescent="0.25">
      <c r="A4" s="4" t="s">
        <v>93</v>
      </c>
      <c r="B4" s="23" t="s">
        <v>126</v>
      </c>
      <c r="C4" s="24" t="s">
        <v>2041</v>
      </c>
      <c r="D4" s="24" t="s">
        <v>2042</v>
      </c>
    </row>
    <row r="5" spans="1:14" x14ac:dyDescent="0.25">
      <c r="A5" t="s">
        <v>6436</v>
      </c>
      <c r="B5" cm="1">
        <f t="array" ref="B5">IF(ROW() &lt; ROW(INDEX(chemicals[experiment_ID],ROWS(chemicals[experiment_ID]))), COUNTIF(INDEX(chemicals[experiment_ID],1):chemicals[[#This Row],[experiment_ID]],chemicals[[#This Row],[experiment_ID]]), "")</f>
        <v>1</v>
      </c>
      <c r="C5" t="s">
        <v>6449</v>
      </c>
    </row>
    <row r="6" spans="1:14" x14ac:dyDescent="0.25">
      <c r="A6" t="s">
        <v>6436</v>
      </c>
      <c r="B6" cm="1">
        <f t="array" ref="B6">IF(ROW() &lt; ROW(INDEX(chemicals[experiment_ID],ROWS(chemicals[experiment_ID]))), COUNTIF(INDEX(chemicals[experiment_ID],1):chemicals[[#This Row],[experiment_ID]],chemicals[[#This Row],[experiment_ID]]), "")</f>
        <v>2</v>
      </c>
      <c r="C6" t="s">
        <v>6450</v>
      </c>
    </row>
    <row r="7" spans="1:14" x14ac:dyDescent="0.25">
      <c r="A7" t="s">
        <v>6978</v>
      </c>
      <c r="B7" cm="1">
        <f t="array" ref="B7">IF(ROW() &lt; ROW(INDEX(chemicals[experiment_ID],ROWS(chemicals[experiment_ID]))), COUNTIF(INDEX(chemicals[experiment_ID],1):chemicals[[#This Row],[experiment_ID]],chemicals[[#This Row],[experiment_ID]]), "")</f>
        <v>1</v>
      </c>
      <c r="C7" t="s">
        <v>7009</v>
      </c>
      <c r="D7" t="s">
        <v>7007</v>
      </c>
    </row>
    <row r="8" spans="1:14" x14ac:dyDescent="0.25">
      <c r="B8" s="176" t="str" cm="1">
        <f t="array" ref="B8">IF(ROW() &lt; ROW(INDEX(chemicals[experiment_ID],ROWS(chemicals[experiment_ID]))), COUNTIF(INDEX(chemicals[experiment_ID],1):chemicals[[#This Row],[experiment_ID]],chemicals[[#This Row],[experiment_ID]]), "")</f>
        <v/>
      </c>
      <c r="C8" s="176"/>
      <c r="D8" s="176"/>
    </row>
  </sheetData>
  <mergeCells count="1">
    <mergeCell ref="A1:H1"/>
  </mergeCells>
  <dataValidations count="2">
    <dataValidation type="list" allowBlank="1" showInputMessage="1" showErrorMessage="1" sqref="A5:A8" xr:uid="{F652F8D0-2858-420D-B99B-C727360FC135}">
      <formula1>ddl_experiments</formula1>
    </dataValidation>
    <dataValidation allowBlank="1" showDropDown="1" showInputMessage="1" showErrorMessage="1" sqref="C5:D8"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17"/>
  <sheetViews>
    <sheetView workbookViewId="0">
      <pane ySplit="4" topLeftCell="A5" activePane="bottomLeft" state="frozen"/>
      <selection pane="bottomLeft" activeCell="A2" sqref="A2"/>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65" t="s">
        <v>6707</v>
      </c>
      <c r="B1" s="165"/>
      <c r="C1" s="165"/>
      <c r="D1" s="165"/>
      <c r="E1" s="165"/>
      <c r="F1" s="165"/>
      <c r="G1" s="35"/>
    </row>
    <row r="2" spans="1:14" ht="28.5" customHeight="1" x14ac:dyDescent="0.25">
      <c r="A2" s="36"/>
      <c r="B2" s="36"/>
    </row>
    <row r="3" spans="1:14" s="89" customFormat="1" ht="32.25" customHeight="1" x14ac:dyDescent="0.25">
      <c r="A3" s="21" t="s">
        <v>1927</v>
      </c>
      <c r="B3" s="21" t="s">
        <v>1954</v>
      </c>
      <c r="C3" s="21" t="s">
        <v>2063</v>
      </c>
      <c r="D3" s="21" t="s">
        <v>2062</v>
      </c>
      <c r="E3" s="21" t="s">
        <v>1956</v>
      </c>
      <c r="F3" s="21" t="s">
        <v>1889</v>
      </c>
      <c r="G3" s="21" t="s">
        <v>2036</v>
      </c>
      <c r="H3" s="21" t="s">
        <v>2040</v>
      </c>
      <c r="I3" s="21"/>
      <c r="J3" s="22"/>
      <c r="K3" s="21"/>
      <c r="M3" s="22"/>
      <c r="N3" s="21"/>
    </row>
    <row r="4" spans="1:14" x14ac:dyDescent="0.25">
      <c r="A4" s="4" t="s">
        <v>93</v>
      </c>
      <c r="B4" s="23" t="s">
        <v>126</v>
      </c>
      <c r="C4" s="24" t="s">
        <v>2034</v>
      </c>
      <c r="D4" s="24" t="s">
        <v>2035</v>
      </c>
      <c r="E4" s="24" t="s">
        <v>2037</v>
      </c>
      <c r="F4" s="24" t="s">
        <v>2764</v>
      </c>
      <c r="G4" s="24" t="s">
        <v>2038</v>
      </c>
      <c r="H4" s="24" t="s">
        <v>2039</v>
      </c>
    </row>
    <row r="5" spans="1:14" x14ac:dyDescent="0.25">
      <c r="A5" t="s">
        <v>6436</v>
      </c>
      <c r="B5">
        <v>1</v>
      </c>
      <c r="C5" s="27">
        <v>45388</v>
      </c>
      <c r="E5" t="s">
        <v>915</v>
      </c>
      <c r="G5">
        <v>1</v>
      </c>
      <c r="H5" t="s">
        <v>6451</v>
      </c>
    </row>
    <row r="6" spans="1:14" x14ac:dyDescent="0.25">
      <c r="A6" t="s">
        <v>6436</v>
      </c>
      <c r="B6">
        <v>1</v>
      </c>
      <c r="C6" s="27">
        <v>45394</v>
      </c>
      <c r="E6" t="s">
        <v>762</v>
      </c>
      <c r="G6">
        <v>0.5</v>
      </c>
    </row>
    <row r="7" spans="1:14" x14ac:dyDescent="0.25">
      <c r="A7" t="s">
        <v>6436</v>
      </c>
      <c r="B7">
        <v>1</v>
      </c>
      <c r="C7" s="27">
        <v>45394</v>
      </c>
      <c r="E7" t="s">
        <v>762</v>
      </c>
      <c r="G7">
        <v>0.5</v>
      </c>
    </row>
    <row r="8" spans="1:14" x14ac:dyDescent="0.25">
      <c r="A8" t="s">
        <v>6436</v>
      </c>
      <c r="B8">
        <v>1</v>
      </c>
      <c r="C8" s="27">
        <v>45394</v>
      </c>
      <c r="E8" t="s">
        <v>762</v>
      </c>
      <c r="G8">
        <v>1</v>
      </c>
    </row>
    <row r="9" spans="1:14" x14ac:dyDescent="0.25">
      <c r="A9" t="s">
        <v>6436</v>
      </c>
      <c r="B9">
        <v>1</v>
      </c>
      <c r="C9" s="27">
        <v>45448</v>
      </c>
      <c r="E9" t="s">
        <v>762</v>
      </c>
      <c r="G9">
        <v>0.5</v>
      </c>
    </row>
    <row r="10" spans="1:14" x14ac:dyDescent="0.25">
      <c r="A10" t="s">
        <v>6436</v>
      </c>
      <c r="B10">
        <v>1</v>
      </c>
      <c r="C10" s="27">
        <v>45448</v>
      </c>
      <c r="E10" t="s">
        <v>762</v>
      </c>
      <c r="G10">
        <v>0.5</v>
      </c>
    </row>
    <row r="11" spans="1:14" x14ac:dyDescent="0.25">
      <c r="A11" t="s">
        <v>6436</v>
      </c>
      <c r="B11">
        <v>1</v>
      </c>
      <c r="C11" s="27">
        <v>45448</v>
      </c>
      <c r="E11" t="s">
        <v>762</v>
      </c>
      <c r="G11">
        <v>0.08</v>
      </c>
    </row>
    <row r="12" spans="1:14" x14ac:dyDescent="0.25">
      <c r="A12" t="s">
        <v>6436</v>
      </c>
      <c r="B12">
        <v>2</v>
      </c>
      <c r="C12" s="27">
        <v>45394</v>
      </c>
      <c r="E12" t="s">
        <v>762</v>
      </c>
      <c r="G12">
        <v>0.5</v>
      </c>
    </row>
    <row r="13" spans="1:14" x14ac:dyDescent="0.25">
      <c r="A13" t="s">
        <v>6436</v>
      </c>
      <c r="B13">
        <v>2</v>
      </c>
      <c r="C13" s="27">
        <v>45394</v>
      </c>
      <c r="E13" t="s">
        <v>762</v>
      </c>
      <c r="G13">
        <v>0.5</v>
      </c>
    </row>
    <row r="14" spans="1:14" x14ac:dyDescent="0.25">
      <c r="A14" t="s">
        <v>6436</v>
      </c>
      <c r="B14">
        <v>2</v>
      </c>
      <c r="C14" s="27">
        <v>45394</v>
      </c>
      <c r="E14" t="s">
        <v>762</v>
      </c>
      <c r="G14">
        <v>1</v>
      </c>
    </row>
    <row r="15" spans="1:14" x14ac:dyDescent="0.25">
      <c r="A15" t="s">
        <v>6436</v>
      </c>
      <c r="B15">
        <v>2</v>
      </c>
      <c r="C15" s="27">
        <v>45448</v>
      </c>
      <c r="E15" t="s">
        <v>762</v>
      </c>
      <c r="G15">
        <v>0.5</v>
      </c>
    </row>
    <row r="16" spans="1:14" x14ac:dyDescent="0.25">
      <c r="A16" t="s">
        <v>6436</v>
      </c>
      <c r="B16">
        <v>2</v>
      </c>
      <c r="C16" s="27">
        <v>45448</v>
      </c>
      <c r="E16" t="s">
        <v>762</v>
      </c>
      <c r="G16">
        <v>0.5</v>
      </c>
    </row>
    <row r="17" spans="1:7" x14ac:dyDescent="0.25">
      <c r="A17" t="s">
        <v>6436</v>
      </c>
      <c r="B17">
        <v>2</v>
      </c>
      <c r="C17" s="27">
        <v>45448</v>
      </c>
      <c r="E17" t="s">
        <v>762</v>
      </c>
      <c r="G17">
        <v>0.08</v>
      </c>
    </row>
  </sheetData>
  <mergeCells count="1">
    <mergeCell ref="A1:F1"/>
  </mergeCells>
  <dataValidations count="1">
    <dataValidation allowBlank="1" showDropDown="1" showInputMessage="1" showErrorMessage="1" sqref="C18 F5:F18 H5:H18 G18" xr:uid="{B56FFAB2-7552-428E-A20D-CCC6772F3517}"/>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_xlfn.ANCHORARRAY(_xlfn.XLOOKUP($A5,DynamicDropDown!$KI$3:$LB$3,DynamicDropDown!$KI$4:$LB$4))</xm:f>
          </x14:formula1>
          <xm:sqref>B5:B18</xm:sqref>
        </x14:dataValidation>
        <x14:dataValidation type="list" allowBlank="1" showInputMessage="1" showErrorMessage="1" xr:uid="{55163B7C-9E6C-4A2D-953D-544E637DF124}">
          <x14:formula1>
            <xm:f>_xlfn.ANCHORARRAY(DynamicDropDown!$KI$3)</xm:f>
          </x14:formula1>
          <xm:sqref>A5:A18</xm:sqref>
        </x14:dataValidation>
        <x14:dataValidation type="list" allowBlank="1" showInputMessage="1" showErrorMessage="1" xr:uid="{7B5D3828-1787-4282-A458-1FC3E06295C9}">
          <x14:formula1>
            <xm:f>DropDown!$BO$3:$BO$50</xm:f>
          </x14:formula1>
          <xm:sqref>D5:D18</xm:sqref>
        </x14:dataValidation>
        <x14:dataValidation type="list" allowBlank="1" showInputMessage="1" showErrorMessage="1" xr:uid="{2D9D6E9D-5C2D-46AC-9E9E-AAE3A7FA6C4E}">
          <x14:formula1>
            <xm:f>DropDown!$BI$3:$BI$22</xm:f>
          </x14:formula1>
          <xm:sqref>E5:E18</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7"/>
  <sheetViews>
    <sheetView zoomScaleNormal="100" workbookViewId="0">
      <pane ySplit="4" topLeftCell="A5" activePane="bottomLeft" state="frozen"/>
      <selection pane="bottomLeft" activeCell="C7" sqref="C7"/>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65" t="s">
        <v>6708</v>
      </c>
      <c r="B1" s="165"/>
      <c r="C1" s="165"/>
      <c r="D1" s="165"/>
      <c r="E1" s="165"/>
      <c r="F1" s="165"/>
      <c r="G1" s="165"/>
      <c r="H1" s="165"/>
    </row>
    <row r="2" spans="1:14" ht="28.5" customHeight="1" x14ac:dyDescent="0.25">
      <c r="A2" s="36"/>
      <c r="B2" s="36"/>
    </row>
    <row r="3" spans="1:14" s="89" customFormat="1" ht="32.25" customHeight="1" x14ac:dyDescent="0.25">
      <c r="A3" s="21" t="s">
        <v>1927</v>
      </c>
      <c r="B3" s="21" t="s">
        <v>1926</v>
      </c>
      <c r="C3" s="21" t="s">
        <v>6458</v>
      </c>
      <c r="D3" s="21" t="s">
        <v>3281</v>
      </c>
      <c r="E3" s="21"/>
      <c r="F3" s="21"/>
      <c r="G3" s="21"/>
      <c r="H3" s="21"/>
      <c r="I3" s="21"/>
      <c r="J3" s="22"/>
      <c r="K3" s="21"/>
      <c r="M3" s="22"/>
      <c r="N3" s="21"/>
    </row>
    <row r="4" spans="1:14" x14ac:dyDescent="0.25">
      <c r="A4" s="4" t="s">
        <v>93</v>
      </c>
      <c r="B4" s="15" t="s">
        <v>129</v>
      </c>
      <c r="C4" s="103" t="s">
        <v>193</v>
      </c>
      <c r="D4" s="103" t="s">
        <v>2792</v>
      </c>
      <c r="E4" s="4"/>
      <c r="F4" s="4"/>
      <c r="G4" s="4"/>
      <c r="H4" s="4"/>
    </row>
    <row r="5" spans="1:14" x14ac:dyDescent="0.25">
      <c r="A5" t="s">
        <v>6436</v>
      </c>
      <c r="B5" cm="1">
        <f t="array" ref="B5">IF(ROW() &lt; ROW(INDEX(harvest[experiment_ID],ROWS(harvest[experiment_ID]))), COUNTIF(INDEX(harvest[experiment_ID],1):harvest[[#This Row],[experiment_ID]],harvest[[#This Row],[experiment_ID]]), "")</f>
        <v>1</v>
      </c>
      <c r="C5" t="s">
        <v>6452</v>
      </c>
    </row>
    <row r="6" spans="1:14" x14ac:dyDescent="0.25">
      <c r="A6" t="s">
        <v>6978</v>
      </c>
      <c r="B6" cm="1">
        <f t="array" ref="B6">IF(ROW() &lt; ROW(INDEX(harvest[experiment_ID],ROWS(harvest[experiment_ID]))), COUNTIF(INDEX(harvest[experiment_ID],1):harvest[[#This Row],[experiment_ID]],harvest[[#This Row],[experiment_ID]]), "")</f>
        <v>1</v>
      </c>
      <c r="C6" t="s">
        <v>7010</v>
      </c>
    </row>
    <row r="7" spans="1:14" x14ac:dyDescent="0.25">
      <c r="B7" t="str" cm="1">
        <f t="array" ref="B7">IF(ROW() &lt; ROW(INDEX(harvest[experiment_ID],ROWS(harvest[experiment_ID]))), COUNTIF(INDEX(harvest[experiment_ID],1):harvest[[#This Row],[experiment_ID]],harvest[[#This Row],[experiment_ID]]), "")</f>
        <v/>
      </c>
    </row>
  </sheetData>
  <mergeCells count="1">
    <mergeCell ref="A1:H1"/>
  </mergeCells>
  <dataValidations count="2">
    <dataValidation type="list" allowBlank="1" showInputMessage="1" showErrorMessage="1" sqref="A5:A7" xr:uid="{2333A7C1-9AE1-4353-915D-F3359B5564B7}">
      <formula1>ddl_experiments</formula1>
    </dataValidation>
    <dataValidation allowBlank="1" showDropDown="1" showInputMessage="1" showErrorMessage="1" sqref="F5:H6 C5:D7" xr:uid="{A59DDF80-8D67-4F50-810C-C74DB79457AD}"/>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6"/>
  <sheetViews>
    <sheetView workbookViewId="0">
      <pane ySplit="4" topLeftCell="A5" activePane="bottomLeft" state="frozen"/>
      <selection pane="bottomLeft" activeCell="G6" sqref="G6"/>
    </sheetView>
  </sheetViews>
  <sheetFormatPr defaultRowHeight="15" x14ac:dyDescent="0.25"/>
  <cols>
    <col min="1" max="1" width="13.7109375" customWidth="1"/>
    <col min="2" max="2" width="10.7109375" customWidth="1"/>
    <col min="3" max="26" width="20.7109375" customWidth="1"/>
  </cols>
  <sheetData>
    <row r="1" spans="1:14" ht="150" customHeight="1" x14ac:dyDescent="0.25">
      <c r="A1" s="165" t="s">
        <v>6709</v>
      </c>
      <c r="B1" s="165"/>
      <c r="C1" s="165"/>
      <c r="D1" s="165"/>
      <c r="E1" s="165"/>
      <c r="F1" s="165"/>
      <c r="G1" s="165"/>
      <c r="H1" s="165"/>
    </row>
    <row r="2" spans="1:14" ht="28.5" customHeight="1" x14ac:dyDescent="0.25">
      <c r="A2" s="36"/>
      <c r="B2" s="36"/>
    </row>
    <row r="3" spans="1:14" s="89" customFormat="1" ht="32.25" customHeight="1" x14ac:dyDescent="0.25">
      <c r="A3" s="21" t="s">
        <v>1927</v>
      </c>
      <c r="B3" s="21" t="s">
        <v>1954</v>
      </c>
      <c r="C3" s="166" t="s">
        <v>2063</v>
      </c>
      <c r="D3" s="21" t="s">
        <v>3276</v>
      </c>
      <c r="E3" s="21" t="s">
        <v>1957</v>
      </c>
      <c r="F3" s="21" t="s">
        <v>1958</v>
      </c>
      <c r="G3" s="21" t="s">
        <v>3278</v>
      </c>
      <c r="H3" s="21"/>
      <c r="I3" s="21"/>
      <c r="J3" s="22"/>
      <c r="K3" s="21"/>
      <c r="M3" s="22"/>
      <c r="N3" s="21"/>
    </row>
    <row r="4" spans="1:14" x14ac:dyDescent="0.25">
      <c r="A4" s="4" t="s">
        <v>93</v>
      </c>
      <c r="B4" s="4" t="s">
        <v>129</v>
      </c>
      <c r="C4" s="4" t="s">
        <v>196</v>
      </c>
      <c r="D4" s="4" t="s">
        <v>2793</v>
      </c>
      <c r="E4" s="4" t="s">
        <v>197</v>
      </c>
      <c r="F4" s="4" t="s">
        <v>199</v>
      </c>
      <c r="G4" s="4" t="s">
        <v>2796</v>
      </c>
    </row>
    <row r="5" spans="1:14" x14ac:dyDescent="0.25">
      <c r="A5" t="s">
        <v>6436</v>
      </c>
      <c r="B5">
        <v>1</v>
      </c>
      <c r="C5" s="27">
        <v>45503</v>
      </c>
      <c r="D5" t="s">
        <v>1436</v>
      </c>
      <c r="E5" t="s">
        <v>615</v>
      </c>
      <c r="F5" t="s">
        <v>788</v>
      </c>
      <c r="G5">
        <v>6000</v>
      </c>
    </row>
    <row r="6" spans="1:14" x14ac:dyDescent="0.25">
      <c r="A6" t="s">
        <v>6978</v>
      </c>
      <c r="B6">
        <v>1</v>
      </c>
      <c r="C6" s="27">
        <v>28334</v>
      </c>
      <c r="D6" t="s">
        <v>1440</v>
      </c>
      <c r="E6" t="s">
        <v>615</v>
      </c>
      <c r="F6" t="s">
        <v>788</v>
      </c>
    </row>
  </sheetData>
  <mergeCells count="1">
    <mergeCell ref="A1:H1"/>
  </mergeCells>
  <dataValidations count="1">
    <dataValidation allowBlank="1" showDropDown="1" showInputMessage="1" showErrorMessage="1" sqref="C5:C7 G5:G7" xr:uid="{8FE417D8-93FB-4A4A-B87E-98E55D401FA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6B9151A8-47B4-4BBA-A224-4CCB667D1BC8}">
          <x14:formula1>
            <xm:f>_xlfn.ANCHORARRAY(DynamicDropDown!$LX$3)</xm:f>
          </x14:formula1>
          <xm:sqref>A5:A7</xm:sqref>
        </x14:dataValidation>
        <x14:dataValidation type="list" allowBlank="1" showInputMessage="1" showErrorMessage="1" xr:uid="{ECE393B1-00BB-47D2-85E5-FDC6CB9F1CA1}">
          <x14:formula1>
            <xm:f>_xlfn.ANCHORARRAY(_xlfn.XLOOKUP($A5,DynamicDropDown!$LX$3:$MQ$3,DynamicDropDown!$LX$4:$MQ$4))</xm:f>
          </x14:formula1>
          <xm:sqref>B5:B7</xm:sqref>
        </x14:dataValidation>
        <x14:dataValidation type="list" allowBlank="1" showInputMessage="1" showErrorMessage="1" xr:uid="{6932C918-2C9C-49EA-BA26-F82828201FAD}">
          <x14:formula1>
            <xm:f>DropDown!$R$3:$R$169</xm:f>
          </x14:formula1>
          <xm:sqref>D5:D7</xm:sqref>
        </x14:dataValidation>
        <x14:dataValidation type="list" allowBlank="1" showInputMessage="1" showErrorMessage="1" xr:uid="{271563A5-202B-4B18-8335-F98151F1D444}">
          <x14:formula1>
            <xm:f>DropDown!$BW$3:$BW$11</xm:f>
          </x14:formula1>
          <xm:sqref>E5:E7</xm:sqref>
        </x14:dataValidation>
        <x14:dataValidation type="list" allowBlank="1" showInputMessage="1" showErrorMessage="1" xr:uid="{07051DFB-ED85-4AE6-95F9-4F31C98503DE}">
          <x14:formula1>
            <xm:f>DropDown!$BZ$3:$BZ$9</xm:f>
          </x14:formula1>
          <xm:sqref>F5:F7</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16"/>
  <sheetViews>
    <sheetView zoomScaleNormal="100" workbookViewId="0">
      <pane ySplit="4" topLeftCell="A8" activePane="bottomLeft" state="frozen"/>
      <selection pane="bottomLeft" activeCell="N22" sqref="N22"/>
    </sheetView>
  </sheetViews>
  <sheetFormatPr defaultRowHeight="15" x14ac:dyDescent="0.25"/>
  <cols>
    <col min="1" max="1" width="13.7109375" customWidth="1"/>
    <col min="2" max="2" width="10.7109375" customWidth="1"/>
    <col min="3" max="3" width="24" bestFit="1" customWidth="1"/>
    <col min="4" max="17" width="15.7109375" style="13" customWidth="1"/>
    <col min="18" max="26" width="20.7109375" customWidth="1"/>
  </cols>
  <sheetData>
    <row r="1" spans="1:17" ht="177.75" customHeight="1" x14ac:dyDescent="0.25">
      <c r="A1" s="165" t="s">
        <v>6710</v>
      </c>
      <c r="B1" s="165"/>
      <c r="C1" s="165"/>
      <c r="D1" s="165"/>
      <c r="E1" s="165"/>
      <c r="F1" s="165"/>
      <c r="G1" s="165"/>
      <c r="H1" s="165"/>
      <c r="I1" s="35"/>
      <c r="J1" s="35"/>
    </row>
    <row r="2" spans="1:17" ht="27.95" customHeight="1" x14ac:dyDescent="0.25">
      <c r="A2" s="36"/>
      <c r="B2" s="36"/>
    </row>
    <row r="3" spans="1:17" s="22" customFormat="1" ht="48" customHeight="1" x14ac:dyDescent="0.25">
      <c r="A3" s="21" t="s">
        <v>1927</v>
      </c>
      <c r="B3" s="21" t="s">
        <v>1926</v>
      </c>
      <c r="C3" s="21" t="s">
        <v>321</v>
      </c>
      <c r="D3" s="21" t="s">
        <v>1959</v>
      </c>
      <c r="E3" s="21" t="s">
        <v>1960</v>
      </c>
      <c r="F3" s="21" t="s">
        <v>1961</v>
      </c>
      <c r="G3" s="21" t="s">
        <v>1962</v>
      </c>
      <c r="H3" s="21" t="s">
        <v>1963</v>
      </c>
      <c r="I3" s="21" t="s">
        <v>1964</v>
      </c>
      <c r="J3" s="22" t="s">
        <v>6492</v>
      </c>
      <c r="K3" s="21" t="s">
        <v>6493</v>
      </c>
      <c r="L3" s="22" t="s">
        <v>1967</v>
      </c>
      <c r="M3" s="22" t="s">
        <v>1968</v>
      </c>
      <c r="N3" s="21" t="s">
        <v>1969</v>
      </c>
      <c r="O3" s="22" t="s">
        <v>1970</v>
      </c>
      <c r="P3" s="22" t="s">
        <v>2068</v>
      </c>
      <c r="Q3" s="22" t="s">
        <v>2069</v>
      </c>
    </row>
    <row r="4" spans="1:17" s="13" customFormat="1" ht="15.75" customHeight="1" x14ac:dyDescent="0.25">
      <c r="A4" s="14" t="s">
        <v>93</v>
      </c>
      <c r="B4" s="14" t="s">
        <v>116</v>
      </c>
      <c r="C4" s="14" t="s">
        <v>117</v>
      </c>
      <c r="D4" s="14" t="s">
        <v>118</v>
      </c>
      <c r="E4" s="14" t="s">
        <v>119</v>
      </c>
      <c r="F4" s="14" t="s">
        <v>120</v>
      </c>
      <c r="G4" s="14" t="s">
        <v>121</v>
      </c>
      <c r="H4" s="14" t="s">
        <v>122</v>
      </c>
      <c r="I4" s="14" t="s">
        <v>123</v>
      </c>
      <c r="J4" s="14" t="s">
        <v>124</v>
      </c>
      <c r="K4" s="14" t="s">
        <v>125</v>
      </c>
      <c r="L4" s="14" t="s">
        <v>126</v>
      </c>
      <c r="M4" s="14" t="s">
        <v>127</v>
      </c>
      <c r="N4" s="14" t="s">
        <v>128</v>
      </c>
      <c r="O4" s="14" t="s">
        <v>129</v>
      </c>
      <c r="P4" s="14" t="s">
        <v>130</v>
      </c>
      <c r="Q4" s="14" t="s">
        <v>131</v>
      </c>
    </row>
    <row r="5" spans="1:17" x14ac:dyDescent="0.25">
      <c r="A5" t="s">
        <v>6436</v>
      </c>
      <c r="B5" cm="1">
        <f t="array" ref="B5">IF(ROW() &lt; ROW(INDEX(treatments[experiment_ID],ROWS(treatments[experiment_ID]))), COUNTIF(INDEX(treatments[experiment_ID],1):treatments[[#This Row],[experiment_ID]],treatments[[#This Row],[experiment_ID]]), "")</f>
        <v>1</v>
      </c>
      <c r="C5" t="s">
        <v>6478</v>
      </c>
      <c r="D5" s="16" t="s">
        <v>6476</v>
      </c>
      <c r="E5" s="16" t="s">
        <v>2511</v>
      </c>
      <c r="F5" s="16"/>
      <c r="G5" s="16" t="s">
        <v>2511</v>
      </c>
      <c r="H5" s="16" t="s">
        <v>6482</v>
      </c>
      <c r="I5" s="16" t="s">
        <v>6484</v>
      </c>
      <c r="J5" s="16" t="s">
        <v>6485</v>
      </c>
      <c r="K5" s="16"/>
      <c r="L5" s="16" t="s">
        <v>6487</v>
      </c>
      <c r="M5" s="16" t="s">
        <v>6489</v>
      </c>
      <c r="N5" s="16"/>
      <c r="O5" s="16" t="s">
        <v>6491</v>
      </c>
      <c r="P5" s="16"/>
      <c r="Q5" s="16"/>
    </row>
    <row r="6" spans="1:17" x14ac:dyDescent="0.25">
      <c r="A6" t="s">
        <v>6436</v>
      </c>
      <c r="B6" cm="1">
        <f t="array" ref="B6">IF(ROW() &lt; ROW(INDEX(treatments[experiment_ID],ROWS(treatments[experiment_ID]))), COUNTIF(INDEX(treatments[experiment_ID],1):treatments[[#This Row],[experiment_ID]],treatments[[#This Row],[experiment_ID]]), "")</f>
        <v>2</v>
      </c>
      <c r="C6" t="s">
        <v>6479</v>
      </c>
      <c r="D6" s="16" t="s">
        <v>6477</v>
      </c>
      <c r="E6" s="16" t="s">
        <v>2511</v>
      </c>
      <c r="F6" s="16"/>
      <c r="G6" s="16" t="s">
        <v>2511</v>
      </c>
      <c r="H6" s="16" t="s">
        <v>6483</v>
      </c>
      <c r="I6" s="16" t="s">
        <v>6484</v>
      </c>
      <c r="J6" s="16" t="s">
        <v>6485</v>
      </c>
      <c r="K6" s="16"/>
      <c r="L6" s="16" t="s">
        <v>6488</v>
      </c>
      <c r="M6" s="16" t="s">
        <v>6490</v>
      </c>
      <c r="N6" s="16"/>
      <c r="O6" s="16" t="s">
        <v>6491</v>
      </c>
      <c r="P6" s="16"/>
      <c r="Q6" s="16"/>
    </row>
    <row r="7" spans="1:17" x14ac:dyDescent="0.25">
      <c r="A7" t="s">
        <v>6436</v>
      </c>
      <c r="B7" cm="1">
        <f t="array" ref="B7">IF(ROW() &lt; ROW(INDEX(treatments[experiment_ID],ROWS(treatments[experiment_ID]))), COUNTIF(INDEX(treatments[experiment_ID],1):treatments[[#This Row],[experiment_ID]],treatments[[#This Row],[experiment_ID]]), "")</f>
        <v>3</v>
      </c>
      <c r="C7" t="s">
        <v>6480</v>
      </c>
      <c r="D7" s="16" t="s">
        <v>6476</v>
      </c>
      <c r="E7" s="16" t="s">
        <v>2511</v>
      </c>
      <c r="F7" s="16"/>
      <c r="G7" s="16" t="s">
        <v>2511</v>
      </c>
      <c r="H7" s="16" t="s">
        <v>6482</v>
      </c>
      <c r="I7" s="16" t="s">
        <v>6484</v>
      </c>
      <c r="J7" s="16" t="s">
        <v>6486</v>
      </c>
      <c r="K7" s="16"/>
      <c r="L7" s="16" t="s">
        <v>6487</v>
      </c>
      <c r="M7" s="16" t="s">
        <v>6489</v>
      </c>
      <c r="N7" s="16"/>
      <c r="O7" s="16" t="s">
        <v>6491</v>
      </c>
      <c r="P7" s="16"/>
      <c r="Q7" s="16"/>
    </row>
    <row r="8" spans="1:17" x14ac:dyDescent="0.25">
      <c r="A8" t="s">
        <v>6436</v>
      </c>
      <c r="B8" cm="1">
        <f t="array" ref="B8">IF(ROW() &lt; ROW(INDEX(treatments[experiment_ID],ROWS(treatments[experiment_ID]))), COUNTIF(INDEX(treatments[experiment_ID],1):treatments[[#This Row],[experiment_ID]],treatments[[#This Row],[experiment_ID]]), "")</f>
        <v>4</v>
      </c>
      <c r="C8" t="s">
        <v>6481</v>
      </c>
      <c r="D8" s="16" t="s">
        <v>6477</v>
      </c>
      <c r="E8" s="16" t="s">
        <v>2511</v>
      </c>
      <c r="F8" s="16"/>
      <c r="G8" s="16" t="s">
        <v>2511</v>
      </c>
      <c r="H8" s="16" t="s">
        <v>6483</v>
      </c>
      <c r="I8" s="16" t="s">
        <v>6484</v>
      </c>
      <c r="J8" s="16" t="s">
        <v>6486</v>
      </c>
      <c r="K8" s="16"/>
      <c r="L8" s="16" t="s">
        <v>6488</v>
      </c>
      <c r="M8" s="16" t="s">
        <v>6490</v>
      </c>
      <c r="N8" s="16"/>
      <c r="O8" s="16" t="s">
        <v>6491</v>
      </c>
      <c r="P8" s="16"/>
      <c r="Q8" s="16"/>
    </row>
    <row r="9" spans="1:17" x14ac:dyDescent="0.25">
      <c r="A9" t="s">
        <v>6978</v>
      </c>
      <c r="B9" cm="1">
        <f t="array" ref="B9">IF(ROW() &lt; ROW(INDEX(treatments[experiment_ID],ROWS(treatments[experiment_ID]))), COUNTIF(INDEX(treatments[experiment_ID],1):treatments[[#This Row],[experiment_ID]],treatments[[#This Row],[experiment_ID]]), "")</f>
        <v>1</v>
      </c>
      <c r="C9" t="s">
        <v>7011</v>
      </c>
      <c r="D9" s="16" t="s">
        <v>7018</v>
      </c>
      <c r="E9" s="16" t="s">
        <v>2511</v>
      </c>
      <c r="F9" s="16"/>
      <c r="G9" s="16"/>
      <c r="H9" s="16" t="s">
        <v>7019</v>
      </c>
      <c r="I9" s="16" t="s">
        <v>6484</v>
      </c>
      <c r="J9" s="16" t="s">
        <v>7026</v>
      </c>
      <c r="K9" s="16"/>
      <c r="L9" s="16" t="s">
        <v>7027</v>
      </c>
      <c r="M9" s="16"/>
      <c r="N9" s="16"/>
      <c r="O9" s="16" t="s">
        <v>7028</v>
      </c>
      <c r="P9" s="16"/>
      <c r="Q9" s="16"/>
    </row>
    <row r="10" spans="1:17" x14ac:dyDescent="0.25">
      <c r="A10" t="s">
        <v>6978</v>
      </c>
      <c r="B10" s="177" cm="1">
        <f t="array" ref="B10">IF(ROW() &lt; ROW(INDEX(treatments[experiment_ID],ROWS(treatments[experiment_ID]))), COUNTIF(INDEX(treatments[experiment_ID],1):treatments[[#This Row],[experiment_ID]],treatments[[#This Row],[experiment_ID]]), "")</f>
        <v>2</v>
      </c>
      <c r="C10" t="s">
        <v>7012</v>
      </c>
      <c r="D10" s="16" t="s">
        <v>7018</v>
      </c>
      <c r="E10" s="16" t="s">
        <v>2511</v>
      </c>
      <c r="F10" s="16"/>
      <c r="G10" s="16"/>
      <c r="H10" s="16" t="s">
        <v>7020</v>
      </c>
      <c r="I10" s="16" t="s">
        <v>6484</v>
      </c>
      <c r="J10" s="16" t="s">
        <v>7026</v>
      </c>
      <c r="K10" s="16"/>
      <c r="L10" s="16" t="s">
        <v>7027</v>
      </c>
      <c r="M10" s="16"/>
      <c r="N10" s="16"/>
      <c r="O10" s="16" t="s">
        <v>7028</v>
      </c>
      <c r="P10" s="16"/>
      <c r="Q10" s="16"/>
    </row>
    <row r="11" spans="1:17" x14ac:dyDescent="0.25">
      <c r="A11" t="s">
        <v>6978</v>
      </c>
      <c r="B11" s="177" cm="1">
        <f t="array" ref="B11">IF(ROW() &lt; ROW(INDEX(treatments[experiment_ID],ROWS(treatments[experiment_ID]))), COUNTIF(INDEX(treatments[experiment_ID],1):treatments[[#This Row],[experiment_ID]],treatments[[#This Row],[experiment_ID]]), "")</f>
        <v>3</v>
      </c>
      <c r="C11" t="s">
        <v>7013</v>
      </c>
      <c r="D11" s="16" t="s">
        <v>7018</v>
      </c>
      <c r="E11" s="16" t="s">
        <v>2511</v>
      </c>
      <c r="F11" s="16"/>
      <c r="G11" s="16"/>
      <c r="H11" s="16" t="s">
        <v>7021</v>
      </c>
      <c r="I11" s="16" t="s">
        <v>6484</v>
      </c>
      <c r="J11" s="16" t="s">
        <v>7026</v>
      </c>
      <c r="K11" s="16"/>
      <c r="L11" s="16" t="s">
        <v>7027</v>
      </c>
      <c r="M11" s="16"/>
      <c r="N11" s="16"/>
      <c r="O11" s="16" t="s">
        <v>7028</v>
      </c>
      <c r="P11" s="16"/>
      <c r="Q11" s="16"/>
    </row>
    <row r="12" spans="1:17" x14ac:dyDescent="0.25">
      <c r="A12" t="s">
        <v>6978</v>
      </c>
      <c r="B12" s="177" cm="1">
        <f t="array" ref="B12">IF(ROW() &lt; ROW(INDEX(treatments[experiment_ID],ROWS(treatments[experiment_ID]))), COUNTIF(INDEX(treatments[experiment_ID],1):treatments[[#This Row],[experiment_ID]],treatments[[#This Row],[experiment_ID]]), "")</f>
        <v>4</v>
      </c>
      <c r="C12" t="s">
        <v>7014</v>
      </c>
      <c r="D12" s="16" t="s">
        <v>7018</v>
      </c>
      <c r="E12" s="16" t="s">
        <v>2511</v>
      </c>
      <c r="F12" s="16"/>
      <c r="G12" s="16"/>
      <c r="H12" s="16" t="s">
        <v>7022</v>
      </c>
      <c r="I12" s="16" t="s">
        <v>6484</v>
      </c>
      <c r="J12" s="16" t="s">
        <v>7026</v>
      </c>
      <c r="K12" s="16"/>
      <c r="L12" s="16" t="s">
        <v>7027</v>
      </c>
      <c r="M12" s="16"/>
      <c r="N12" s="16"/>
      <c r="O12" s="16" t="s">
        <v>7028</v>
      </c>
      <c r="P12" s="16"/>
      <c r="Q12" s="16"/>
    </row>
    <row r="13" spans="1:17" x14ac:dyDescent="0.25">
      <c r="A13" t="s">
        <v>6978</v>
      </c>
      <c r="B13" s="177" cm="1">
        <f t="array" ref="B13">IF(ROW() &lt; ROW(INDEX(treatments[experiment_ID],ROWS(treatments[experiment_ID]))), COUNTIF(INDEX(treatments[experiment_ID],1):treatments[[#This Row],[experiment_ID]],treatments[[#This Row],[experiment_ID]]), "")</f>
        <v>5</v>
      </c>
      <c r="C13" t="s">
        <v>7015</v>
      </c>
      <c r="D13" s="16" t="s">
        <v>7018</v>
      </c>
      <c r="E13" s="16" t="s">
        <v>2511</v>
      </c>
      <c r="F13" s="16"/>
      <c r="G13" s="16"/>
      <c r="H13" s="16" t="s">
        <v>7023</v>
      </c>
      <c r="I13" s="16" t="s">
        <v>6484</v>
      </c>
      <c r="J13" s="16" t="s">
        <v>7026</v>
      </c>
      <c r="K13" s="16"/>
      <c r="L13" s="16" t="s">
        <v>7027</v>
      </c>
      <c r="M13" s="16"/>
      <c r="N13" s="16"/>
      <c r="O13" s="16" t="s">
        <v>7028</v>
      </c>
      <c r="P13" s="16"/>
      <c r="Q13" s="16"/>
    </row>
    <row r="14" spans="1:17" x14ac:dyDescent="0.25">
      <c r="A14" t="s">
        <v>6978</v>
      </c>
      <c r="B14" s="177" cm="1">
        <f t="array" ref="B14">IF(ROW() &lt; ROW(INDEX(treatments[experiment_ID],ROWS(treatments[experiment_ID]))), COUNTIF(INDEX(treatments[experiment_ID],1):treatments[[#This Row],[experiment_ID]],treatments[[#This Row],[experiment_ID]]), "")</f>
        <v>6</v>
      </c>
      <c r="C14" t="s">
        <v>7016</v>
      </c>
      <c r="D14" s="16" t="s">
        <v>7018</v>
      </c>
      <c r="E14" s="16" t="s">
        <v>2511</v>
      </c>
      <c r="F14" s="16"/>
      <c r="G14" s="16"/>
      <c r="H14" s="16" t="s">
        <v>7024</v>
      </c>
      <c r="I14" s="16" t="s">
        <v>6484</v>
      </c>
      <c r="J14" s="16" t="s">
        <v>7026</v>
      </c>
      <c r="K14" s="16"/>
      <c r="L14" s="16" t="s">
        <v>7027</v>
      </c>
      <c r="M14" s="16"/>
      <c r="N14" s="16"/>
      <c r="O14" s="16" t="s">
        <v>7028</v>
      </c>
      <c r="P14" s="16"/>
      <c r="Q14" s="16"/>
    </row>
    <row r="15" spans="1:17" x14ac:dyDescent="0.25">
      <c r="A15" s="177" t="s">
        <v>6978</v>
      </c>
      <c r="B15" s="177" cm="1">
        <f t="array" ref="B15">IF(ROW() &lt; ROW(INDEX(treatments[experiment_ID],ROWS(treatments[experiment_ID]))), COUNTIF(INDEX(treatments[experiment_ID],1):treatments[[#This Row],[experiment_ID]],treatments[[#This Row],[experiment_ID]]), "")</f>
        <v>7</v>
      </c>
      <c r="C15" t="s">
        <v>7017</v>
      </c>
      <c r="D15" s="16" t="s">
        <v>7018</v>
      </c>
      <c r="E15" s="16" t="s">
        <v>2511</v>
      </c>
      <c r="F15" s="16"/>
      <c r="G15" s="16"/>
      <c r="H15" s="16" t="s">
        <v>7025</v>
      </c>
      <c r="I15" s="16" t="s">
        <v>6484</v>
      </c>
      <c r="J15" s="16" t="s">
        <v>7026</v>
      </c>
      <c r="K15" s="16"/>
      <c r="L15" s="16" t="s">
        <v>7027</v>
      </c>
      <c r="M15" s="16"/>
      <c r="N15" s="16"/>
      <c r="O15" s="16" t="s">
        <v>7028</v>
      </c>
      <c r="P15" s="16"/>
      <c r="Q15" s="16"/>
    </row>
    <row r="16" spans="1:17" x14ac:dyDescent="0.25">
      <c r="A16" s="177"/>
      <c r="B16" s="177" t="str" cm="1">
        <f t="array" ref="B16">IF(ROW() &lt; ROW(INDEX(treatments[experiment_ID],ROWS(treatments[experiment_ID]))), COUNTIF(INDEX(treatments[experiment_ID],1):treatments[[#This Row],[experiment_ID]],treatments[[#This Row],[experiment_ID]]), "")</f>
        <v/>
      </c>
      <c r="C16" s="177"/>
      <c r="D16" s="16"/>
      <c r="E16" s="16"/>
      <c r="F16" s="16"/>
      <c r="G16" s="16"/>
      <c r="H16" s="16"/>
      <c r="I16" s="16"/>
      <c r="J16" s="16"/>
      <c r="K16" s="16"/>
      <c r="L16" s="16"/>
      <c r="M16" s="16"/>
      <c r="N16" s="16"/>
      <c r="O16" s="16"/>
      <c r="P16" s="16"/>
      <c r="Q16" s="16"/>
    </row>
  </sheetData>
  <mergeCells count="1">
    <mergeCell ref="A1:H1"/>
  </mergeCells>
  <dataValidations count="1">
    <dataValidation type="list" allowBlank="1" showInputMessage="1" showErrorMessage="1" sqref="A5:A16" xr:uid="{D114AC81-6421-452E-9C76-8026BC9347DB}">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0">
        <x14:dataValidation type="list" allowBlank="1" showInputMessage="1" showErrorMessage="1" xr:uid="{96D14C86-3C6C-435B-9FDF-DFEA2B8649A1}">
          <x14:formula1>
            <xm:f>_xlfn.ANCHORARRAY(_xlfn.XLOOKUP($A5,DynamicDropDown!$E$3:$X$3,DynamicDropDown!$E$4:$X$4))</xm:f>
          </x14:formula1>
          <xm:sqref>D5:D16</xm:sqref>
        </x14:dataValidation>
        <x14:dataValidation type="list" allowBlank="1" showInputMessage="1" showErrorMessage="1" xr:uid="{F7723B07-DF2B-49B8-846B-47FCB5429579}">
          <x14:formula1>
            <xm:f>_xlfn.ANCHORARRAY(_xlfn.XLOOKUP($A5,DynamicDropDown!$Z$3:$AS$3,DynamicDropDown!$Z$4:$AS$4))</xm:f>
          </x14:formula1>
          <xm:sqref>E5:E16</xm:sqref>
        </x14:dataValidation>
        <x14:dataValidation type="list" allowBlank="1" showInputMessage="1" showErrorMessage="1" xr:uid="{F52B1BE2-4333-4713-A391-78D72007139B}">
          <x14:formula1>
            <xm:f>_xlfn.ANCHORARRAY(_xlfn.XLOOKUP($A5,DynamicDropDown!$DF$3:$DY$3,DynamicDropDown!$DF$4:$DY$4))</xm:f>
          </x14:formula1>
          <xm:sqref>G5:G16</xm:sqref>
        </x14:dataValidation>
        <x14:dataValidation type="list" allowBlank="1" showInputMessage="1" showErrorMessage="1" xr:uid="{C7935D2F-D7FE-4DD6-88C5-CAD6F7B20166}">
          <x14:formula1>
            <xm:f>_xlfn.ANCHORARRAY(_xlfn.XLOOKUP($A5,DynamicDropDown!$CK$3:$DD$3,DynamicDropDown!$CK$4:$DD$4))</xm:f>
          </x14:formula1>
          <xm:sqref>H5:H16</xm:sqref>
        </x14:dataValidation>
        <x14:dataValidation type="list" allowBlank="1" showInputMessage="1" showErrorMessage="1" xr:uid="{A2D77094-04AB-45A0-B5F3-21921D61CE49}">
          <x14:formula1>
            <xm:f>_xlfn.ANCHORARRAY(_xlfn.XLOOKUP($A5,DynamicDropDown!$EV$3:$FO$3,DynamicDropDown!$EV$4:$FO$4))</xm:f>
          </x14:formula1>
          <xm:sqref>I5:I16</xm:sqref>
        </x14:dataValidation>
        <x14:dataValidation type="list" allowBlank="1" showInputMessage="1" showErrorMessage="1" xr:uid="{094CB3D6-B583-4962-8EB9-092649ECE27D}">
          <x14:formula1>
            <xm:f>_xlfn.ANCHORARRAY(_xlfn.XLOOKUP($A5,DynamicDropDown!$HZ$3:$IS$3,DynamicDropDown!$HZ$4:$IS$4))</xm:f>
          </x14:formula1>
          <xm:sqref>J5:J16</xm:sqref>
        </x14:dataValidation>
        <x14:dataValidation type="list" allowBlank="1" showInputMessage="1" showErrorMessage="1" xr:uid="{C34E6BCE-728A-4183-994F-E03679402764}">
          <x14:formula1>
            <xm:f>_xlfn.ANCHORARRAY(_xlfn.XLOOKUP($A5,DynamicDropDown!$LD$3:$LW$3,DynamicDropDown!$LD$4:$LW$4))</xm:f>
          </x14:formula1>
          <xm:sqref>O5:O16</xm:sqref>
        </x14:dataValidation>
        <x14:dataValidation type="list" allowBlank="1" showInputMessage="1" showErrorMessage="1" xr:uid="{0D1FE36F-4BD2-4424-91D0-06A4A1B6D9A7}">
          <x14:formula1>
            <xm:f>_xlfn.ANCHORARRAY(_xlfn.XLOOKUP($A5,DynamicDropDown!$GK$3:$HD$3,DynamicDropDown!$GK$4:$HD$4))</xm:f>
          </x14:formula1>
          <xm:sqref>K5:K16</xm:sqref>
        </x14:dataValidation>
        <x14:dataValidation type="list" allowBlank="1" showInputMessage="1" showErrorMessage="1" xr:uid="{E2DE71BB-CA2C-4B00-96D8-7E571C150A05}">
          <x14:formula1>
            <xm:f>_xlfn.ANCHORARRAY(_xlfn.XLOOKUP($A5,DynamicDropDown!$JO$3:$KH$3,DynamicDropDown!$JO$4:$KH$4))</xm:f>
          </x14:formula1>
          <xm:sqref>L5:L16</xm:sqref>
        </x14:dataValidation>
        <x14:dataValidation type="list" allowBlank="1" showInputMessage="1" showErrorMessage="1" xr:uid="{C7557040-3F2F-4E21-9BC2-E35F2F2BE993}">
          <x14:formula1>
            <xm:f>_xlfn.ANCHORARRAY(_xlfn.XLOOKUP($A5,DynamicDropDown!$AU$3:$BN$3,DynamicDropDown!$AU$4:$BN$4))</xm:f>
          </x14:formula1>
          <xm:sqref>M5:M16</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rgb="FF8B5A00"/>
  </sheetPr>
  <dimension ref="A1:N4"/>
  <sheetViews>
    <sheetView workbookViewId="0">
      <pane ySplit="4" topLeftCell="A5" activePane="bottomLeft" state="frozen"/>
      <selection pane="bottomLeft" sqref="A1:H1"/>
    </sheetView>
  </sheetViews>
  <sheetFormatPr defaultRowHeight="15" x14ac:dyDescent="0.25"/>
  <cols>
    <col min="1" max="2" width="13.7109375" customWidth="1"/>
    <col min="3" max="26" width="20.7109375" customWidth="1"/>
  </cols>
  <sheetData>
    <row r="1" spans="1:14" ht="150" customHeight="1" x14ac:dyDescent="0.25">
      <c r="A1" s="165" t="s">
        <v>6711</v>
      </c>
      <c r="B1" s="165"/>
      <c r="C1" s="165"/>
      <c r="D1" s="165"/>
      <c r="E1" s="165"/>
      <c r="F1" s="165"/>
      <c r="G1" s="165"/>
      <c r="H1" s="165"/>
    </row>
    <row r="2" spans="1:14" ht="28.5" customHeight="1" x14ac:dyDescent="0.25">
      <c r="A2" s="109"/>
      <c r="B2" s="109"/>
      <c r="C2" s="110"/>
    </row>
    <row r="3" spans="1:14" s="22" customFormat="1" ht="32.25" customHeight="1" x14ac:dyDescent="0.25">
      <c r="A3" s="166" t="s">
        <v>1906</v>
      </c>
      <c r="B3" s="166" t="s">
        <v>1935</v>
      </c>
      <c r="C3" s="21" t="s">
        <v>1936</v>
      </c>
      <c r="D3" s="21" t="s">
        <v>1937</v>
      </c>
      <c r="E3" s="21" t="s">
        <v>1938</v>
      </c>
      <c r="F3" s="168" t="s">
        <v>1939</v>
      </c>
      <c r="G3" s="168" t="s">
        <v>1940</v>
      </c>
      <c r="H3" s="168" t="s">
        <v>1941</v>
      </c>
      <c r="I3" s="21" t="s">
        <v>1942</v>
      </c>
      <c r="J3" s="22" t="s">
        <v>1951</v>
      </c>
      <c r="K3" s="21" t="s">
        <v>6553</v>
      </c>
      <c r="N3" s="21"/>
    </row>
    <row r="4" spans="1:14" x14ac:dyDescent="0.25">
      <c r="A4" s="4" t="s">
        <v>202</v>
      </c>
      <c r="B4" s="4" t="s">
        <v>203</v>
      </c>
      <c r="C4" s="4" t="s">
        <v>204</v>
      </c>
      <c r="D4" s="4" t="s">
        <v>205</v>
      </c>
      <c r="E4" s="4" t="s">
        <v>206</v>
      </c>
      <c r="F4" s="4" t="s">
        <v>207</v>
      </c>
      <c r="G4" s="4" t="s">
        <v>208</v>
      </c>
      <c r="H4" s="4" t="s">
        <v>209</v>
      </c>
      <c r="I4" s="4" t="s">
        <v>210</v>
      </c>
      <c r="J4" s="4" t="s">
        <v>4001</v>
      </c>
      <c r="K4" s="4" t="s">
        <v>4002</v>
      </c>
    </row>
  </sheetData>
  <mergeCells count="1">
    <mergeCell ref="A1:H1"/>
  </mergeCells>
  <dataValidations count="9">
    <dataValidation allowBlank="1" showDropDown="1" showInputMessage="1" showErrorMessage="1" sqref="C5" xr:uid="{245B4FA2-075D-418F-A838-60BAF17EF81D}"/>
    <dataValidation allowBlank="1" showDropDown="1" showInputMessage="1" showErrorMessage="1" sqref="D5" xr:uid="{69723685-D0E7-42A3-8C0E-99E1A4AAB7FE}"/>
    <dataValidation allowBlank="1" showDropDown="1" showInputMessage="1" showErrorMessage="1" sqref="E5" xr:uid="{76B78414-7536-40C5-AE85-125B990FCBBB}"/>
    <dataValidation allowBlank="1" showDropDown="1" showInputMessage="1" showErrorMessage="1" sqref="F5" xr:uid="{63993E2B-72D4-4043-9357-4C2F78A666DF}"/>
    <dataValidation allowBlank="1" showDropDown="1" showInputMessage="1" showErrorMessage="1" sqref="G5" xr:uid="{EB027F7B-DBBE-489E-9C77-F37592BF8E39}"/>
    <dataValidation allowBlank="1" showDropDown="1" showInputMessage="1" showErrorMessage="1" sqref="H5" xr:uid="{5F0D6F4F-827F-4B3B-8A9C-62EA4286621F}"/>
    <dataValidation allowBlank="1" showDropDown="1" showInputMessage="1" showErrorMessage="1" sqref="I5" xr:uid="{266B05F8-9F35-4591-B78E-D6A1F3099C04}"/>
    <dataValidation allowBlank="1" showDropDown="1" showInputMessage="1" showErrorMessage="1" sqref="J5" xr:uid="{0CFF1BCD-F707-4A32-A319-583AB8E0C552}"/>
    <dataValidation allowBlank="1" showDropDown="1" showInputMessage="1" showErrorMessage="1" sqref="K5" xr:uid="{DECC1BF7-C3AE-424D-AA28-9E68D8683CFA}"/>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8B5A00"/>
  </sheetPr>
  <dimension ref="A1:L4"/>
  <sheetViews>
    <sheetView zoomScaleNormal="100" workbookViewId="0">
      <pane ySplit="4" topLeftCell="A5" activePane="bottomLeft" state="frozen"/>
      <selection pane="bottomLeft" activeCell="B3" sqref="B3:D3"/>
    </sheetView>
  </sheetViews>
  <sheetFormatPr defaultRowHeight="15" x14ac:dyDescent="0.25"/>
  <cols>
    <col min="1" max="1" width="13.7109375" customWidth="1"/>
    <col min="2" max="26" width="20.7109375" customWidth="1"/>
  </cols>
  <sheetData>
    <row r="1" spans="1:12" ht="150" customHeight="1" x14ac:dyDescent="0.25">
      <c r="A1" s="165" t="s">
        <v>6712</v>
      </c>
      <c r="B1" s="165"/>
      <c r="C1" s="165"/>
      <c r="D1" s="165"/>
      <c r="E1" s="165"/>
      <c r="F1" s="165"/>
      <c r="G1" s="165"/>
      <c r="H1" s="165"/>
    </row>
    <row r="2" spans="1:12" ht="28.5" customHeight="1" x14ac:dyDescent="0.25">
      <c r="A2" s="109"/>
      <c r="B2" s="109"/>
      <c r="C2" s="110"/>
    </row>
    <row r="3" spans="1:12" s="21" customFormat="1" ht="32.25" customHeight="1" x14ac:dyDescent="0.25">
      <c r="A3" s="21" t="s">
        <v>1952</v>
      </c>
      <c r="B3" s="168" t="s">
        <v>1972</v>
      </c>
      <c r="C3" s="168" t="s">
        <v>513</v>
      </c>
      <c r="D3" s="168" t="s">
        <v>6574</v>
      </c>
      <c r="E3" s="166" t="s">
        <v>6572</v>
      </c>
      <c r="F3" s="166" t="s">
        <v>6570</v>
      </c>
      <c r="G3" s="21" t="s">
        <v>6573</v>
      </c>
      <c r="H3" s="21" t="s">
        <v>1904</v>
      </c>
      <c r="I3" s="21" t="s">
        <v>1973</v>
      </c>
      <c r="J3" s="168" t="s">
        <v>6560</v>
      </c>
      <c r="K3" s="21" t="s">
        <v>1905</v>
      </c>
      <c r="L3" s="21" t="s">
        <v>6575</v>
      </c>
    </row>
    <row r="4" spans="1:12" x14ac:dyDescent="0.25">
      <c r="A4" s="4" t="s">
        <v>202</v>
      </c>
      <c r="B4" s="4" t="s">
        <v>212</v>
      </c>
      <c r="C4" s="4" t="s">
        <v>213</v>
      </c>
      <c r="D4" s="4" t="s">
        <v>214</v>
      </c>
      <c r="E4" s="4" t="s">
        <v>215</v>
      </c>
      <c r="F4" s="4" t="s">
        <v>4004</v>
      </c>
      <c r="G4" s="4" t="s">
        <v>216</v>
      </c>
      <c r="H4" s="4" t="s">
        <v>217</v>
      </c>
      <c r="I4" s="4" t="s">
        <v>218</v>
      </c>
      <c r="J4" s="4" t="s">
        <v>4008</v>
      </c>
      <c r="K4" s="4" t="s">
        <v>219</v>
      </c>
      <c r="L4" s="4" t="s">
        <v>220</v>
      </c>
    </row>
  </sheetData>
  <mergeCells count="1">
    <mergeCell ref="A1:H1"/>
  </mergeCells>
  <dataValidations count="10">
    <dataValidation type="list" allowBlank="1" showInputMessage="1" showErrorMessage="1" sqref="A5" xr:uid="{A928679B-CD70-45EE-8D18-580916A76CB0}">
      <formula1>ddl_soilProfiles</formula1>
    </dataValidation>
    <dataValidation allowBlank="1" showDropDown="1" showInputMessage="1" showErrorMessage="1" sqref="B5" xr:uid="{9577165F-DB86-48E8-A884-B273AC804DF8}"/>
    <dataValidation allowBlank="1" showDropDown="1" showInputMessage="1" showErrorMessage="1" sqref="C5" xr:uid="{887C6233-1B0A-4966-864B-AA8A4AF4AF63}"/>
    <dataValidation allowBlank="1" showDropDown="1" showInputMessage="1" showErrorMessage="1" sqref="E5" xr:uid="{D3C73A23-1F6D-4AC8-8B9E-CF90978AA68A}"/>
    <dataValidation allowBlank="1" showDropDown="1" showInputMessage="1" showErrorMessage="1" sqref="F5" xr:uid="{FEB0C329-54FC-44C1-B847-E1909D594263}"/>
    <dataValidation allowBlank="1" showDropDown="1" showInputMessage="1" showErrorMessage="1" sqref="G5" xr:uid="{2BF4B15B-93B3-4F60-A174-46F2E4AB5574}"/>
    <dataValidation allowBlank="1" showDropDown="1" showInputMessage="1" showErrorMessage="1" sqref="H5" xr:uid="{A71C881E-E39F-4E3C-AE25-6496DBD3D9FD}"/>
    <dataValidation allowBlank="1" showDropDown="1" showInputMessage="1" showErrorMessage="1" sqref="I5" xr:uid="{73A10C77-5773-422B-857A-63A89B0224C2}"/>
    <dataValidation allowBlank="1" showDropDown="1" showInputMessage="1" showErrorMessage="1" sqref="J5" xr:uid="{968145E9-6B45-4264-95B5-B8B304FAC135}"/>
    <dataValidation allowBlank="1" showDropDown="1" showInputMessage="1" showErrorMessage="1" sqref="K5" xr:uid="{1EA858D5-39AE-4E4F-B791-36B262D95BF4}"/>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422EF5BD-AA58-4DA9-AAE3-4B3C103C8D53}">
          <x14:formula1>
            <xm:f>DropDown!$CC$3:$CC$9</xm:f>
          </x14:formula1>
          <xm:sqref>D5</xm:sqref>
        </x14:dataValidation>
        <x14:dataValidation type="list" allowBlank="1" showInputMessage="1" showErrorMessage="1" xr:uid="{9C3711C4-DFA3-425E-A7CE-8E8616A365C8}">
          <x14:formula1>
            <xm:f>DropDown!$U$3:$U$25</xm:f>
          </x14:formula1>
          <xm:sqref>L5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8B5A00"/>
  </sheetPr>
  <dimension ref="A1:AD5"/>
  <sheetViews>
    <sheetView workbookViewId="0">
      <pane ySplit="4" topLeftCell="A5" activePane="bottomLeft" state="frozen"/>
      <selection pane="bottomLeft" activeCell="L3" sqref="L3"/>
    </sheetView>
  </sheetViews>
  <sheetFormatPr defaultRowHeight="15" x14ac:dyDescent="0.25"/>
  <cols>
    <col min="1" max="1" width="13.7109375" customWidth="1"/>
    <col min="2" max="3" width="16.7109375" customWidth="1"/>
    <col min="4" max="17" width="20.7109375" customWidth="1"/>
    <col min="18" max="18" width="21.7109375" customWidth="1"/>
    <col min="19" max="26" width="20.7109375" customWidth="1"/>
  </cols>
  <sheetData>
    <row r="1" spans="1:30" ht="150" customHeight="1" x14ac:dyDescent="0.25">
      <c r="A1" s="165" t="s">
        <v>6713</v>
      </c>
      <c r="B1" s="165"/>
      <c r="C1" s="165"/>
      <c r="D1" s="165"/>
      <c r="E1" s="165"/>
      <c r="F1" s="165"/>
      <c r="G1" s="165"/>
      <c r="H1" s="165"/>
    </row>
    <row r="2" spans="1:30" ht="28.5" customHeight="1" x14ac:dyDescent="0.25">
      <c r="A2" s="109"/>
      <c r="B2" s="109"/>
      <c r="C2" s="110"/>
    </row>
    <row r="3" spans="1:30" s="22" customFormat="1" ht="32.25" customHeight="1" x14ac:dyDescent="0.25">
      <c r="A3" s="166" t="s">
        <v>1952</v>
      </c>
      <c r="B3" s="168" t="s">
        <v>6521</v>
      </c>
      <c r="C3" s="166" t="s">
        <v>6522</v>
      </c>
      <c r="D3" s="168" t="s">
        <v>1974</v>
      </c>
      <c r="E3" s="166" t="s">
        <v>6520</v>
      </c>
      <c r="F3" s="168" t="s">
        <v>6506</v>
      </c>
      <c r="G3" s="168" t="s">
        <v>6513</v>
      </c>
      <c r="H3" s="168" t="s">
        <v>6518</v>
      </c>
      <c r="I3" s="168" t="s">
        <v>6519</v>
      </c>
      <c r="J3" s="167" t="s">
        <v>6509</v>
      </c>
      <c r="K3" s="166" t="s">
        <v>6510</v>
      </c>
      <c r="L3" s="170" t="s">
        <v>6511</v>
      </c>
      <c r="M3" s="167" t="s">
        <v>6512</v>
      </c>
      <c r="N3" s="166" t="s">
        <v>6568</v>
      </c>
      <c r="O3" s="167" t="s">
        <v>6497</v>
      </c>
      <c r="P3" s="167" t="s">
        <v>6524</v>
      </c>
      <c r="Q3" s="167" t="s">
        <v>6525</v>
      </c>
      <c r="R3" s="170" t="s">
        <v>6526</v>
      </c>
      <c r="S3" s="170" t="s">
        <v>6527</v>
      </c>
      <c r="T3" s="170" t="s">
        <v>6528</v>
      </c>
      <c r="U3" s="167" t="s">
        <v>6529</v>
      </c>
      <c r="V3" s="167" t="s">
        <v>6530</v>
      </c>
      <c r="W3" s="170" t="s">
        <v>1979</v>
      </c>
      <c r="X3" s="170" t="s">
        <v>6500</v>
      </c>
      <c r="Y3" s="170" t="s">
        <v>6531</v>
      </c>
      <c r="Z3" s="170" t="s">
        <v>6502</v>
      </c>
    </row>
    <row r="4" spans="1:30" x14ac:dyDescent="0.25">
      <c r="A4" s="4" t="s">
        <v>202</v>
      </c>
      <c r="B4" s="61" t="s">
        <v>223</v>
      </c>
      <c r="C4" s="61" t="s">
        <v>224</v>
      </c>
      <c r="D4" s="169" t="s">
        <v>225</v>
      </c>
      <c r="E4" s="169" t="s">
        <v>226</v>
      </c>
      <c r="F4" s="169" t="s">
        <v>4021</v>
      </c>
      <c r="G4" s="169" t="s">
        <v>4025</v>
      </c>
      <c r="H4" s="169" t="s">
        <v>2656</v>
      </c>
      <c r="I4" s="169" t="s">
        <v>4024</v>
      </c>
      <c r="J4" s="169" t="s">
        <v>227</v>
      </c>
      <c r="K4" s="169" t="s">
        <v>228</v>
      </c>
      <c r="L4" s="169" t="s">
        <v>229</v>
      </c>
      <c r="M4" s="169" t="s">
        <v>230</v>
      </c>
      <c r="N4" s="169" t="s">
        <v>4028</v>
      </c>
      <c r="O4" s="169" t="s">
        <v>4030</v>
      </c>
      <c r="P4" s="169" t="s">
        <v>4041</v>
      </c>
      <c r="Q4" s="169" t="s">
        <v>231</v>
      </c>
      <c r="R4" s="169" t="s">
        <v>4031</v>
      </c>
      <c r="S4" s="169" t="s">
        <v>4032</v>
      </c>
      <c r="T4" s="169" t="s">
        <v>4033</v>
      </c>
      <c r="U4" s="169" t="s">
        <v>232</v>
      </c>
      <c r="V4" s="169" t="s">
        <v>233</v>
      </c>
      <c r="W4" s="169" t="s">
        <v>234</v>
      </c>
      <c r="X4" s="169" t="s">
        <v>4037</v>
      </c>
      <c r="Y4" s="169" t="s">
        <v>4039</v>
      </c>
      <c r="Z4" s="169" t="s">
        <v>4042</v>
      </c>
      <c r="AA4" s="4"/>
      <c r="AB4" s="4"/>
      <c r="AC4" s="4"/>
      <c r="AD4" s="4"/>
    </row>
    <row r="5" spans="1:30" x14ac:dyDescent="0.25">
      <c r="A5" s="4"/>
      <c r="B5" s="4"/>
      <c r="C5" s="4"/>
      <c r="D5" s="4"/>
      <c r="E5" s="4"/>
      <c r="F5" s="4"/>
      <c r="G5" s="4"/>
      <c r="H5" s="4"/>
      <c r="I5" s="4"/>
      <c r="J5" s="4"/>
      <c r="K5" s="4"/>
      <c r="L5" s="4"/>
      <c r="M5" s="4"/>
      <c r="N5" s="4"/>
      <c r="O5" s="4"/>
      <c r="P5" s="4"/>
      <c r="Q5" s="4"/>
      <c r="R5" s="4"/>
      <c r="S5" s="4"/>
      <c r="T5" s="4"/>
      <c r="U5" s="4"/>
      <c r="V5" s="4"/>
      <c r="W5" s="4"/>
      <c r="X5" s="4"/>
      <c r="Y5" s="4"/>
      <c r="Z5" s="4"/>
    </row>
  </sheetData>
  <mergeCells count="1">
    <mergeCell ref="A1:H1"/>
  </mergeCells>
  <phoneticPr fontId="23" type="noConversion"/>
  <conditionalFormatting sqref="B4">
    <cfRule type="duplicateValues" dxfId="6" priority="3"/>
  </conditionalFormatting>
  <conditionalFormatting sqref="B4">
    <cfRule type="duplicateValues" dxfId="5" priority="4"/>
  </conditionalFormatting>
  <conditionalFormatting sqref="C4:Z4">
    <cfRule type="duplicateValues" dxfId="4" priority="1"/>
  </conditionalFormatting>
  <conditionalFormatting sqref="C4">
    <cfRule type="duplicateValues" dxfId="3" priority="2"/>
  </conditionalFormatting>
  <dataValidations count="23">
    <dataValidation type="list" allowBlank="1" showInputMessage="1" showErrorMessage="1" sqref="A5" xr:uid="{D5F6D638-6F0B-4DD7-A5EF-E28E48C78EA8}">
      <formula1>ddl_soilProfiles</formula1>
    </dataValidation>
    <dataValidation allowBlank="1" showDropDown="1" showInputMessage="1" showErrorMessage="1" sqref="E5" xr:uid="{7E099726-24E9-4BB0-9B8F-9244B598506F}"/>
    <dataValidation allowBlank="1" showDropDown="1" showInputMessage="1" showErrorMessage="1" sqref="F5" xr:uid="{38EFCFD6-695D-4A40-9F76-EFCB5271A374}"/>
    <dataValidation allowBlank="1" showDropDown="1" showInputMessage="1" showErrorMessage="1" sqref="G5" xr:uid="{994B223A-B9FC-44B3-BDA5-DED9E217E51E}"/>
    <dataValidation allowBlank="1" showDropDown="1" showInputMessage="1" showErrorMessage="1" sqref="H5" xr:uid="{3B8851F6-DD91-4439-BB87-1DD6BA59777A}"/>
    <dataValidation allowBlank="1" showDropDown="1" showInputMessage="1" showErrorMessage="1" sqref="I5" xr:uid="{84E8E711-96CD-46E2-90B1-6C57DAB6B82A}"/>
    <dataValidation allowBlank="1" showDropDown="1" showInputMessage="1" showErrorMessage="1" sqref="J5" xr:uid="{DD991391-D6AC-4C94-A7DD-90636A8D6C5E}"/>
    <dataValidation allowBlank="1" showDropDown="1" showInputMessage="1" showErrorMessage="1" sqref="K5" xr:uid="{61725FA3-46C7-4E34-A988-CCE04B9EB387}"/>
    <dataValidation allowBlank="1" showDropDown="1" showInputMessage="1" showErrorMessage="1" sqref="L5" xr:uid="{32F9A9BB-3E69-461B-82ED-E215501D0913}"/>
    <dataValidation allowBlank="1" showDropDown="1" showInputMessage="1" showErrorMessage="1" sqref="M5" xr:uid="{FC543070-EB03-4C53-BC43-E9D6E8277E0B}"/>
    <dataValidation allowBlank="1" showDropDown="1" showInputMessage="1" showErrorMessage="1" sqref="N5" xr:uid="{91265C96-34F1-411F-AECA-A4674A0A8E47}"/>
    <dataValidation allowBlank="1" showDropDown="1" showInputMessage="1" showErrorMessage="1" sqref="O5" xr:uid="{D80A01B3-3928-45C9-86F7-8174815C1439}"/>
    <dataValidation allowBlank="1" showDropDown="1" showInputMessage="1" showErrorMessage="1" sqref="P5" xr:uid="{A6487A93-ED49-402C-9202-DC4E666E3FF5}"/>
    <dataValidation allowBlank="1" showDropDown="1" showInputMessage="1" showErrorMessage="1" sqref="Q5" xr:uid="{D29F1DB8-3887-4047-83B3-FA318679A350}"/>
    <dataValidation allowBlank="1" showDropDown="1" showInputMessage="1" showErrorMessage="1" sqref="R5" xr:uid="{03F4FBCF-8A83-4D50-AAE2-61E78B33F273}"/>
    <dataValidation allowBlank="1" showDropDown="1" showInputMessage="1" showErrorMessage="1" sqref="S5" xr:uid="{EB985AB4-0111-4F16-96CD-5B440C3C91EF}"/>
    <dataValidation allowBlank="1" showDropDown="1" showInputMessage="1" showErrorMessage="1" sqref="T5" xr:uid="{1C272F06-F3AD-46F3-A0A8-57AD548E5596}"/>
    <dataValidation allowBlank="1" showDropDown="1" showInputMessage="1" showErrorMessage="1" sqref="U5" xr:uid="{5681592D-1C62-457C-BED3-6A4E851886E9}"/>
    <dataValidation allowBlank="1" showDropDown="1" showInputMessage="1" showErrorMessage="1" sqref="V5" xr:uid="{AE3E746B-026C-4E37-91D4-E6709B094662}"/>
    <dataValidation allowBlank="1" showDropDown="1" showInputMessage="1" showErrorMessage="1" sqref="W5" xr:uid="{E9AF4E58-AD08-40EB-BC03-F67FE3213A39}"/>
    <dataValidation allowBlank="1" showDropDown="1" showInputMessage="1" showErrorMessage="1" sqref="X5" xr:uid="{BD984525-63C4-465E-BDF9-4139949E8C3A}"/>
    <dataValidation allowBlank="1" showDropDown="1" showInputMessage="1" showErrorMessage="1" sqref="Y5" xr:uid="{76ECF461-4D4F-4862-95CC-5E4D55F3012B}"/>
    <dataValidation allowBlank="1" showDropDown="1" showInputMessage="1" showErrorMessage="1" sqref="Z5" xr:uid="{77DE0A7D-3FC6-49F6-81F0-58A1221FA1D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DropDown!$CE$3:$CE$9</xm:f>
          </x14:formula1>
          <xm:sqref>D5</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rgb="FFE0FFFF"/>
  </sheetPr>
  <dimension ref="A1:N4"/>
  <sheetViews>
    <sheetView workbookViewId="0">
      <pane ySplit="4" topLeftCell="A5" activePane="bottomLeft" state="frozen"/>
      <selection pane="bottomLeft" activeCell="F9" sqref="F9"/>
    </sheetView>
  </sheetViews>
  <sheetFormatPr defaultRowHeight="15" x14ac:dyDescent="0.25"/>
  <cols>
    <col min="1" max="1" width="13.7109375" customWidth="1"/>
    <col min="2" max="26" width="20.7109375" customWidth="1"/>
  </cols>
  <sheetData>
    <row r="1" spans="1:14" ht="150" customHeight="1" x14ac:dyDescent="0.25">
      <c r="A1" s="165" t="s">
        <v>6714</v>
      </c>
      <c r="B1" s="165"/>
      <c r="C1" s="165"/>
      <c r="D1" s="165"/>
      <c r="E1" s="165"/>
      <c r="F1" s="165"/>
      <c r="G1" s="165"/>
      <c r="H1" s="165"/>
    </row>
    <row r="2" spans="1:14" ht="28.5" customHeight="1" x14ac:dyDescent="0.25">
      <c r="A2" s="109"/>
      <c r="B2" s="109"/>
      <c r="C2" s="110"/>
    </row>
    <row r="3" spans="1:14" s="22" customFormat="1" ht="32.25" customHeight="1" x14ac:dyDescent="0.25">
      <c r="A3" s="166" t="s">
        <v>1943</v>
      </c>
      <c r="B3" s="166" t="s">
        <v>553</v>
      </c>
      <c r="C3" s="21" t="s">
        <v>1944</v>
      </c>
      <c r="D3" s="21" t="s">
        <v>1936</v>
      </c>
      <c r="E3" s="21" t="s">
        <v>3798</v>
      </c>
      <c r="F3" s="21" t="s">
        <v>1945</v>
      </c>
      <c r="G3" s="21" t="s">
        <v>1939</v>
      </c>
      <c r="H3" s="21" t="s">
        <v>1940</v>
      </c>
      <c r="I3" s="21" t="s">
        <v>1941</v>
      </c>
      <c r="J3" s="167" t="s">
        <v>6620</v>
      </c>
      <c r="K3" s="166" t="s">
        <v>6494</v>
      </c>
      <c r="L3" s="166" t="s">
        <v>6622</v>
      </c>
      <c r="N3" s="21"/>
    </row>
    <row r="4" spans="1:14" x14ac:dyDescent="0.25">
      <c r="A4" s="4" t="s">
        <v>236</v>
      </c>
      <c r="B4" s="4" t="s">
        <v>237</v>
      </c>
      <c r="C4" s="4" t="s">
        <v>238</v>
      </c>
      <c r="D4" s="4" t="s">
        <v>239</v>
      </c>
      <c r="E4" s="4" t="s">
        <v>240</v>
      </c>
      <c r="F4" s="4" t="s">
        <v>241</v>
      </c>
      <c r="G4" s="4" t="s">
        <v>242</v>
      </c>
      <c r="H4" s="4" t="s">
        <v>243</v>
      </c>
      <c r="I4" s="4" t="s">
        <v>244</v>
      </c>
      <c r="J4" s="4" t="s">
        <v>246</v>
      </c>
      <c r="K4" s="4" t="s">
        <v>247</v>
      </c>
      <c r="L4" s="4" t="s">
        <v>4082</v>
      </c>
    </row>
  </sheetData>
  <mergeCells count="1">
    <mergeCell ref="A1:H1"/>
  </mergeCells>
  <dataValidations count="10">
    <dataValidation allowBlank="1" showDropDown="1" showInputMessage="1" showErrorMessage="1" sqref="C5" xr:uid="{81DD9DCB-3EAC-4BDB-89B8-9AA843B6FAA5}"/>
    <dataValidation allowBlank="1" showDropDown="1" showInputMessage="1" showErrorMessage="1" sqref="D5" xr:uid="{66F1508C-1E44-4143-AABF-A88176147CC8}"/>
    <dataValidation allowBlank="1" showDropDown="1" showInputMessage="1" showErrorMessage="1" sqref="E5" xr:uid="{64C1A17E-C614-43E7-B21F-061F3338E09E}"/>
    <dataValidation allowBlank="1" showDropDown="1" showInputMessage="1" showErrorMessage="1" sqref="F5" xr:uid="{9B1A7A06-FB28-4CCE-A1F5-6FBB0ED702CD}"/>
    <dataValidation allowBlank="1" showDropDown="1" showInputMessage="1" showErrorMessage="1" sqref="G5" xr:uid="{3230D8E4-E30F-4E9B-B9B0-AEC0175A1B48}"/>
    <dataValidation allowBlank="1" showDropDown="1" showInputMessage="1" showErrorMessage="1" sqref="H5" xr:uid="{0C6CF6A2-2B27-42F7-ACC2-333B94802D1D}"/>
    <dataValidation allowBlank="1" showDropDown="1" showInputMessage="1" showErrorMessage="1" sqref="I5" xr:uid="{59189A13-673F-41BC-AA9A-FEFEB15BEF59}"/>
    <dataValidation allowBlank="1" showDropDown="1" showInputMessage="1" showErrorMessage="1" sqref="J5" xr:uid="{97874AD6-1CA1-4356-8F62-C927850C5CED}"/>
    <dataValidation allowBlank="1" showDropDown="1" showInputMessage="1" showErrorMessage="1" sqref="K5" xr:uid="{6F717A5A-9D28-4B59-B78D-365ADBA20133}"/>
    <dataValidation allowBlank="1" showDropDown="1" showInputMessage="1" showErrorMessage="1" sqref="L5" xr:uid="{AECB08E8-B251-46B0-B795-682E0EA08E97}"/>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P5"/>
  <sheetViews>
    <sheetView workbookViewId="0">
      <pane ySplit="4" topLeftCell="A5" activePane="bottomLeft" state="frozen"/>
      <selection pane="bottomLeft" activeCell="I3" sqref="I3"/>
    </sheetView>
  </sheetViews>
  <sheetFormatPr defaultRowHeight="15" x14ac:dyDescent="0.25"/>
  <cols>
    <col min="1" max="2" width="13.7109375" customWidth="1"/>
    <col min="3" max="26" width="20.7109375" customWidth="1"/>
  </cols>
  <sheetData>
    <row r="1" spans="1:16" ht="150" customHeight="1" x14ac:dyDescent="0.25">
      <c r="A1" s="165" t="s">
        <v>6715</v>
      </c>
      <c r="B1" s="165"/>
      <c r="C1" s="165"/>
      <c r="D1" s="165"/>
      <c r="E1" s="165"/>
      <c r="F1" s="165"/>
      <c r="G1" s="165"/>
      <c r="H1" s="165"/>
    </row>
    <row r="2" spans="1:16" ht="28.5" customHeight="1" x14ac:dyDescent="0.25">
      <c r="A2" s="109"/>
      <c r="B2" s="109"/>
    </row>
    <row r="3" spans="1:16" s="22" customFormat="1" ht="32.25" customHeight="1" x14ac:dyDescent="0.25">
      <c r="A3" s="21" t="s">
        <v>1926</v>
      </c>
      <c r="B3" s="166" t="s">
        <v>1943</v>
      </c>
      <c r="C3" s="166" t="s">
        <v>6496</v>
      </c>
      <c r="D3" s="166" t="s">
        <v>2073</v>
      </c>
      <c r="E3" s="166" t="s">
        <v>6597</v>
      </c>
      <c r="F3" s="166" t="s">
        <v>6598</v>
      </c>
      <c r="G3" s="166" t="s">
        <v>1910</v>
      </c>
      <c r="H3" s="168" t="s">
        <v>1911</v>
      </c>
      <c r="I3" s="168" t="s">
        <v>6505</v>
      </c>
      <c r="J3" s="170" t="s">
        <v>1913</v>
      </c>
      <c r="K3" s="21" t="s">
        <v>6583</v>
      </c>
      <c r="N3" s="21"/>
    </row>
    <row r="4" spans="1:16" x14ac:dyDescent="0.25">
      <c r="A4" s="4" t="s">
        <v>4076</v>
      </c>
      <c r="B4" s="4" t="s">
        <v>236</v>
      </c>
      <c r="C4" s="4" t="s">
        <v>251</v>
      </c>
      <c r="D4" s="4" t="s">
        <v>252</v>
      </c>
      <c r="E4" s="4" t="s">
        <v>253</v>
      </c>
      <c r="F4" s="4" t="s">
        <v>254</v>
      </c>
      <c r="G4" s="4" t="s">
        <v>255</v>
      </c>
      <c r="H4" s="4" t="s">
        <v>256</v>
      </c>
      <c r="I4" s="4" t="s">
        <v>4118</v>
      </c>
      <c r="J4" s="4" t="s">
        <v>257</v>
      </c>
      <c r="K4" s="4" t="s">
        <v>4119</v>
      </c>
      <c r="L4" s="4"/>
      <c r="M4" s="4"/>
      <c r="N4" s="4"/>
      <c r="O4" s="4"/>
      <c r="P4" s="4"/>
    </row>
    <row r="5" spans="1:16" x14ac:dyDescent="0.25">
      <c r="A5" t="str" cm="1">
        <f t="array" ref="A5">IF(ROW() &lt; ROW(INDEX(weatherDaily[weather_station_id],ROWS(weatherDaily[weather_station_id]))), COUNTIF(INDEX(weatherDaily[weather_station_id],1):weatherDaily[[#This Row],[weather_station_id]],weatherDaily[[#This Row],[weather_station_id]]), "")</f>
        <v/>
      </c>
    </row>
  </sheetData>
  <mergeCells count="1">
    <mergeCell ref="A1:H1"/>
  </mergeCells>
  <dataValidations count="8">
    <dataValidation allowBlank="1" showDropDown="1" showInputMessage="1" showErrorMessage="1" sqref="D5" xr:uid="{8F11FADF-1CDA-420D-9E5E-1EFA722BC8D5}"/>
    <dataValidation allowBlank="1" showDropDown="1" showInputMessage="1" showErrorMessage="1" sqref="E5" xr:uid="{68679E50-42C2-419A-BC8E-03DEBF195EA2}"/>
    <dataValidation allowBlank="1" showDropDown="1" showInputMessage="1" showErrorMessage="1" sqref="F5" xr:uid="{F1A4EDC8-0686-47B9-9705-759BD9F0D6E5}"/>
    <dataValidation allowBlank="1" showDropDown="1" showInputMessage="1" showErrorMessage="1" sqref="G5" xr:uid="{01975191-EB8F-43BF-82BD-5007EC19FACF}"/>
    <dataValidation allowBlank="1" showDropDown="1" showInputMessage="1" showErrorMessage="1" sqref="H5" xr:uid="{24A2AE76-9E26-428B-92BE-ED8622953F92}"/>
    <dataValidation allowBlank="1" showDropDown="1" showInputMessage="1" showErrorMessage="1" sqref="I5" xr:uid="{0DD6518E-C410-472B-A1FA-154175A7D527}"/>
    <dataValidation allowBlank="1" showDropDown="1" showInputMessage="1" showErrorMessage="1" sqref="J5" xr:uid="{791887FF-A362-45E6-AD36-0076B6134201}"/>
    <dataValidation allowBlank="1" showDropDown="1" showInputMessage="1" showErrorMessage="1" sqref="K5" xr:uid="{9C13F876-9845-471A-AB94-E86D824B7677}"/>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22"/>
  <sheetViews>
    <sheetView tabSelected="1" workbookViewId="0">
      <pane ySplit="4" topLeftCell="A5" activePane="bottomLeft" state="frozen"/>
      <selection pane="bottomLeft" sqref="A1:I1"/>
    </sheetView>
  </sheetViews>
  <sheetFormatPr defaultRowHeight="15" x14ac:dyDescent="0.25"/>
  <cols>
    <col min="1" max="1" width="13.7109375" customWidth="1"/>
    <col min="2" max="2" width="16.28515625" customWidth="1"/>
    <col min="3" max="3" width="13.7109375" customWidth="1"/>
    <col min="4" max="4" width="30.7109375" customWidth="1"/>
    <col min="5" max="25" width="20.7109375" customWidth="1"/>
  </cols>
  <sheetData>
    <row r="1" spans="1:9" ht="150" customHeight="1" x14ac:dyDescent="0.25">
      <c r="A1" s="165" t="s">
        <v>6716</v>
      </c>
      <c r="B1" s="165"/>
      <c r="C1" s="165"/>
      <c r="D1" s="165"/>
      <c r="E1" s="165"/>
      <c r="F1" s="165"/>
      <c r="G1" s="165"/>
      <c r="H1" s="165"/>
      <c r="I1" s="165"/>
    </row>
    <row r="2" spans="1:9" ht="28.5" customHeight="1" x14ac:dyDescent="0.25">
      <c r="A2" s="111"/>
      <c r="B2" s="111"/>
    </row>
    <row r="3" spans="1:9" ht="30" x14ac:dyDescent="0.25">
      <c r="A3" s="21" t="s">
        <v>1927</v>
      </c>
      <c r="B3" s="21" t="s">
        <v>6775</v>
      </c>
      <c r="C3" s="21" t="s">
        <v>6746</v>
      </c>
      <c r="D3" s="21" t="s">
        <v>6581</v>
      </c>
    </row>
    <row r="4" spans="1:9" x14ac:dyDescent="0.25">
      <c r="A4" s="4" t="s">
        <v>93</v>
      </c>
      <c r="B4" s="4" t="s">
        <v>258</v>
      </c>
      <c r="C4" s="4" t="s">
        <v>6443</v>
      </c>
      <c r="D4" s="4" t="s">
        <v>116</v>
      </c>
    </row>
    <row r="5" spans="1:9" x14ac:dyDescent="0.25">
      <c r="A5" t="s">
        <v>6436</v>
      </c>
      <c r="B5" t="s">
        <v>6765</v>
      </c>
      <c r="C5">
        <v>2</v>
      </c>
      <c r="D5" t="s">
        <v>6750</v>
      </c>
    </row>
    <row r="6" spans="1:9" x14ac:dyDescent="0.25">
      <c r="A6" t="s">
        <v>6436</v>
      </c>
      <c r="B6" t="s">
        <v>6766</v>
      </c>
      <c r="C6">
        <v>3</v>
      </c>
      <c r="D6" t="s">
        <v>6751</v>
      </c>
    </row>
    <row r="7" spans="1:9" x14ac:dyDescent="0.25">
      <c r="A7" t="s">
        <v>6436</v>
      </c>
      <c r="B7" t="s">
        <v>6767</v>
      </c>
      <c r="C7">
        <v>4</v>
      </c>
      <c r="D7" t="s">
        <v>6750</v>
      </c>
    </row>
    <row r="8" spans="1:9" x14ac:dyDescent="0.25">
      <c r="A8" t="s">
        <v>6436</v>
      </c>
      <c r="B8" t="s">
        <v>6768</v>
      </c>
      <c r="C8">
        <v>5</v>
      </c>
      <c r="D8" t="s">
        <v>6751</v>
      </c>
    </row>
    <row r="9" spans="1:9" x14ac:dyDescent="0.25">
      <c r="A9" t="s">
        <v>6436</v>
      </c>
      <c r="B9" t="s">
        <v>6769</v>
      </c>
      <c r="C9">
        <v>6</v>
      </c>
      <c r="D9" t="s">
        <v>6750</v>
      </c>
    </row>
    <row r="10" spans="1:9" x14ac:dyDescent="0.25">
      <c r="A10" t="s">
        <v>6436</v>
      </c>
      <c r="B10" t="s">
        <v>6770</v>
      </c>
      <c r="C10">
        <v>27</v>
      </c>
      <c r="D10" t="s">
        <v>6752</v>
      </c>
    </row>
    <row r="11" spans="1:9" x14ac:dyDescent="0.25">
      <c r="A11" t="s">
        <v>6436</v>
      </c>
      <c r="B11" t="s">
        <v>6771</v>
      </c>
      <c r="C11">
        <v>28</v>
      </c>
      <c r="D11" t="s">
        <v>6753</v>
      </c>
    </row>
    <row r="12" spans="1:9" x14ac:dyDescent="0.25">
      <c r="A12" t="s">
        <v>6436</v>
      </c>
      <c r="B12" t="s">
        <v>6772</v>
      </c>
      <c r="C12">
        <v>29</v>
      </c>
      <c r="D12" t="s">
        <v>6752</v>
      </c>
    </row>
    <row r="13" spans="1:9" x14ac:dyDescent="0.25">
      <c r="A13" t="s">
        <v>6436</v>
      </c>
      <c r="B13" t="s">
        <v>6773</v>
      </c>
      <c r="C13">
        <v>30</v>
      </c>
      <c r="D13" t="s">
        <v>6753</v>
      </c>
    </row>
    <row r="14" spans="1:9" x14ac:dyDescent="0.25">
      <c r="A14" t="s">
        <v>6436</v>
      </c>
      <c r="B14" t="s">
        <v>6774</v>
      </c>
      <c r="C14">
        <v>31</v>
      </c>
      <c r="D14" t="s">
        <v>6752</v>
      </c>
    </row>
    <row r="15" spans="1:9" x14ac:dyDescent="0.25">
      <c r="A15" t="s">
        <v>6978</v>
      </c>
      <c r="B15" t="s">
        <v>7029</v>
      </c>
      <c r="C15">
        <v>1</v>
      </c>
      <c r="D15" t="s">
        <v>7036</v>
      </c>
    </row>
    <row r="16" spans="1:9" x14ac:dyDescent="0.25">
      <c r="A16" t="s">
        <v>6978</v>
      </c>
      <c r="B16" t="s">
        <v>7030</v>
      </c>
      <c r="C16" s="176">
        <v>2</v>
      </c>
      <c r="D16" t="s">
        <v>7037</v>
      </c>
    </row>
    <row r="17" spans="1:4" x14ac:dyDescent="0.25">
      <c r="A17" t="s">
        <v>6978</v>
      </c>
      <c r="B17" t="s">
        <v>7031</v>
      </c>
      <c r="C17" s="176">
        <v>3</v>
      </c>
      <c r="D17" t="s">
        <v>7038</v>
      </c>
    </row>
    <row r="18" spans="1:4" x14ac:dyDescent="0.25">
      <c r="A18" t="s">
        <v>6978</v>
      </c>
      <c r="B18" t="s">
        <v>7032</v>
      </c>
      <c r="C18">
        <v>4</v>
      </c>
      <c r="D18" t="s">
        <v>7039</v>
      </c>
    </row>
    <row r="19" spans="1:4" x14ac:dyDescent="0.25">
      <c r="A19" t="s">
        <v>6978</v>
      </c>
      <c r="B19" t="s">
        <v>7033</v>
      </c>
      <c r="C19" s="176">
        <v>5</v>
      </c>
      <c r="D19" t="s">
        <v>7040</v>
      </c>
    </row>
    <row r="20" spans="1:4" x14ac:dyDescent="0.25">
      <c r="A20" t="s">
        <v>6978</v>
      </c>
      <c r="B20" t="s">
        <v>7034</v>
      </c>
      <c r="C20" s="176">
        <v>6</v>
      </c>
      <c r="D20" t="s">
        <v>7041</v>
      </c>
    </row>
    <row r="21" spans="1:4" x14ac:dyDescent="0.25">
      <c r="A21" t="s">
        <v>6978</v>
      </c>
      <c r="B21" t="s">
        <v>7035</v>
      </c>
      <c r="C21">
        <v>7</v>
      </c>
      <c r="D21" t="s">
        <v>7042</v>
      </c>
    </row>
    <row r="22" spans="1:4" x14ac:dyDescent="0.25">
      <c r="C22" s="176"/>
    </row>
  </sheetData>
  <mergeCells count="1">
    <mergeCell ref="A1:I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2F24F6C-883D-4144-9F66-7308B32AD254}">
          <x14:formula1>
            <xm:f>_xlfn.ANCHORARRAY(DynamicDropDown!$MS$3)</xm:f>
          </x14:formula1>
          <xm:sqref>A5:A22</xm:sqref>
        </x14:dataValidation>
        <x14:dataValidation type="list" allowBlank="1" showInputMessage="1" showErrorMessage="1" xr:uid="{14DA6A60-92F4-49DB-A17F-F9E487192D1C}">
          <x14:formula1>
            <xm:f>_xlfn.ANCHORARRAY(_xlfn.XLOOKUP($A5,DynamicDropDown!$MS$3:$NM$3,DynamicDropDown!$MS$4:$NM$4))</xm:f>
          </x14:formula1>
          <xm:sqref>C5:C22</xm:sqref>
        </x14:dataValidation>
        <x14:dataValidation type="list" allowBlank="1" showInputMessage="1" showErrorMessage="1" xr:uid="{434BCB4F-B0EF-4C74-A6BB-B441FBAE258A}">
          <x14:formula1>
            <xm:f>_xlfn.ANCHORARRAY(_xlfn.XLOOKUP($A5,DynamicDropDown!$NO$3:$OH$3,DynamicDropDown!$NO$4:$OH$4))</xm:f>
          </x14:formula1>
          <xm:sqref>D5:D22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S14"/>
  <sheetViews>
    <sheetView workbookViewId="0">
      <pane ySplit="4" topLeftCell="A5" activePane="bottomLeft" state="frozen"/>
      <selection pane="bottomLeft" activeCell="H4" sqref="H4"/>
    </sheetView>
  </sheetViews>
  <sheetFormatPr defaultRowHeight="15" x14ac:dyDescent="0.25"/>
  <cols>
    <col min="1" max="1" width="13.7109375" customWidth="1"/>
    <col min="2" max="2" width="17.28515625" hidden="1" customWidth="1"/>
    <col min="3" max="3" width="17.5703125" hidden="1" customWidth="1"/>
    <col min="4" max="4" width="10.7109375" customWidth="1"/>
    <col min="5" max="6" width="27" bestFit="1" customWidth="1"/>
    <col min="7" max="7" width="22.5703125" customWidth="1"/>
    <col min="8" max="8" width="21.7109375" customWidth="1"/>
    <col min="9" max="29" width="20.7109375" customWidth="1"/>
  </cols>
  <sheetData>
    <row r="1" spans="1:19" ht="150" customHeight="1" x14ac:dyDescent="0.25">
      <c r="A1" s="165" t="s">
        <v>6718</v>
      </c>
      <c r="B1" s="165"/>
      <c r="C1" s="165"/>
      <c r="D1" s="165"/>
      <c r="E1" s="165"/>
      <c r="F1" s="165"/>
      <c r="G1" s="165"/>
      <c r="H1" s="165"/>
      <c r="I1" s="165"/>
      <c r="J1" s="165"/>
    </row>
    <row r="2" spans="1:19" ht="28.5" customHeight="1" x14ac:dyDescent="0.25">
      <c r="A2" s="36"/>
      <c r="B2" s="36"/>
      <c r="C2" s="36"/>
    </row>
    <row r="3" spans="1:19" ht="32.25" customHeight="1" x14ac:dyDescent="0.25">
      <c r="A3" s="21" t="s">
        <v>1927</v>
      </c>
      <c r="B3" s="21" t="s">
        <v>6776</v>
      </c>
      <c r="C3" s="21" t="s">
        <v>6775</v>
      </c>
      <c r="D3" s="21" t="s">
        <v>6746</v>
      </c>
      <c r="E3" s="21" t="s">
        <v>6777</v>
      </c>
      <c r="F3" s="21" t="s">
        <v>6778</v>
      </c>
      <c r="G3" s="21" t="s">
        <v>2053</v>
      </c>
      <c r="H3" s="21"/>
      <c r="I3" s="21"/>
      <c r="J3" s="21"/>
      <c r="K3" s="21"/>
      <c r="L3" s="21"/>
      <c r="M3" s="21"/>
      <c r="N3" s="21"/>
      <c r="O3" s="21"/>
      <c r="P3" s="21"/>
      <c r="Q3" s="21"/>
      <c r="R3" s="21"/>
      <c r="S3" s="21"/>
    </row>
    <row r="4" spans="1:19" x14ac:dyDescent="0.25">
      <c r="A4" s="4" t="s">
        <v>93</v>
      </c>
      <c r="B4" s="4" t="s">
        <v>4144</v>
      </c>
      <c r="C4" s="4" t="s">
        <v>4145</v>
      </c>
      <c r="D4" s="4" t="s">
        <v>6443</v>
      </c>
      <c r="E4" s="4" t="s">
        <v>116</v>
      </c>
      <c r="F4" s="4" t="s">
        <v>6946</v>
      </c>
      <c r="G4" s="4" t="s">
        <v>263</v>
      </c>
      <c r="H4" s="4"/>
      <c r="I4" s="4"/>
      <c r="J4" s="4"/>
      <c r="K4" s="4"/>
      <c r="L4" s="4"/>
      <c r="M4" s="4"/>
    </row>
    <row r="5" spans="1:19" x14ac:dyDescent="0.25">
      <c r="A5" t="s">
        <v>6436</v>
      </c>
      <c r="B5" t="s">
        <v>6754</v>
      </c>
      <c r="C5" t="s">
        <v>6765</v>
      </c>
      <c r="D5">
        <v>2</v>
      </c>
      <c r="E5" t="s">
        <v>6750</v>
      </c>
      <c r="F5">
        <v>1</v>
      </c>
      <c r="G5">
        <v>7790.0000000000009</v>
      </c>
    </row>
    <row r="6" spans="1:19" x14ac:dyDescent="0.25">
      <c r="A6" t="s">
        <v>6436</v>
      </c>
      <c r="B6" t="s">
        <v>6755</v>
      </c>
      <c r="C6" t="s">
        <v>6766</v>
      </c>
      <c r="D6">
        <v>3</v>
      </c>
      <c r="E6" t="s">
        <v>6751</v>
      </c>
      <c r="F6">
        <v>1</v>
      </c>
      <c r="G6">
        <v>7467</v>
      </c>
    </row>
    <row r="7" spans="1:19" x14ac:dyDescent="0.25">
      <c r="A7" t="s">
        <v>6436</v>
      </c>
      <c r="B7" t="s">
        <v>6756</v>
      </c>
      <c r="C7" t="s">
        <v>6767</v>
      </c>
      <c r="D7">
        <v>4</v>
      </c>
      <c r="E7" t="s">
        <v>6750</v>
      </c>
      <c r="F7">
        <v>1</v>
      </c>
      <c r="G7">
        <v>7095</v>
      </c>
    </row>
    <row r="8" spans="1:19" x14ac:dyDescent="0.25">
      <c r="A8" t="s">
        <v>6436</v>
      </c>
      <c r="B8" t="s">
        <v>6757</v>
      </c>
      <c r="C8" t="s">
        <v>6768</v>
      </c>
      <c r="D8">
        <v>5</v>
      </c>
      <c r="E8" t="s">
        <v>6751</v>
      </c>
      <c r="F8">
        <v>1</v>
      </c>
      <c r="G8">
        <v>7123.9999999999991</v>
      </c>
    </row>
    <row r="9" spans="1:19" x14ac:dyDescent="0.25">
      <c r="A9" t="s">
        <v>6436</v>
      </c>
      <c r="B9" t="s">
        <v>6758</v>
      </c>
      <c r="C9" t="s">
        <v>6769</v>
      </c>
      <c r="D9">
        <v>6</v>
      </c>
      <c r="E9" t="s">
        <v>6750</v>
      </c>
      <c r="F9">
        <v>1</v>
      </c>
      <c r="G9">
        <v>7009.9999999999991</v>
      </c>
    </row>
    <row r="10" spans="1:19" x14ac:dyDescent="0.25">
      <c r="A10" t="s">
        <v>6436</v>
      </c>
      <c r="B10" t="s">
        <v>6759</v>
      </c>
      <c r="C10" t="s">
        <v>6770</v>
      </c>
      <c r="D10">
        <v>27</v>
      </c>
      <c r="E10" t="s">
        <v>6752</v>
      </c>
      <c r="F10">
        <v>1</v>
      </c>
      <c r="G10">
        <v>9400</v>
      </c>
    </row>
    <row r="11" spans="1:19" x14ac:dyDescent="0.25">
      <c r="A11" t="s">
        <v>6436</v>
      </c>
      <c r="B11" t="s">
        <v>6760</v>
      </c>
      <c r="C11" t="s">
        <v>6771</v>
      </c>
      <c r="D11">
        <v>28</v>
      </c>
      <c r="E11" t="s">
        <v>6753</v>
      </c>
      <c r="F11">
        <v>1</v>
      </c>
      <c r="G11">
        <v>9848</v>
      </c>
    </row>
    <row r="12" spans="1:19" x14ac:dyDescent="0.25">
      <c r="A12" t="s">
        <v>6436</v>
      </c>
      <c r="B12" t="s">
        <v>6761</v>
      </c>
      <c r="C12" t="s">
        <v>6772</v>
      </c>
      <c r="D12">
        <v>29</v>
      </c>
      <c r="E12" t="s">
        <v>6752</v>
      </c>
      <c r="F12">
        <v>1</v>
      </c>
      <c r="G12">
        <v>9429</v>
      </c>
    </row>
    <row r="13" spans="1:19" x14ac:dyDescent="0.25">
      <c r="A13" t="s">
        <v>6436</v>
      </c>
      <c r="B13" t="s">
        <v>6762</v>
      </c>
      <c r="C13" t="s">
        <v>6773</v>
      </c>
      <c r="D13">
        <v>30</v>
      </c>
      <c r="E13" t="s">
        <v>6753</v>
      </c>
      <c r="F13">
        <v>1</v>
      </c>
      <c r="G13">
        <v>9571</v>
      </c>
    </row>
    <row r="14" spans="1:19" x14ac:dyDescent="0.25">
      <c r="A14" t="s">
        <v>6436</v>
      </c>
      <c r="B14" t="s">
        <v>6763</v>
      </c>
      <c r="C14" t="s">
        <v>6774</v>
      </c>
      <c r="D14">
        <v>31</v>
      </c>
      <c r="E14" t="s">
        <v>6752</v>
      </c>
      <c r="F14">
        <v>1</v>
      </c>
      <c r="G14">
        <v>9400</v>
      </c>
    </row>
  </sheetData>
  <mergeCells count="1">
    <mergeCell ref="A1:J1"/>
  </mergeCells>
  <phoneticPr fontId="23" type="noConversion"/>
  <dataValidations count="2">
    <dataValidation type="list" allowBlank="1" showInputMessage="1" showErrorMessage="1" sqref="A5:A15" xr:uid="{100F7E93-2B14-4B7C-83F7-9763DAB98401}">
      <formula1>ddl_experiments</formula1>
    </dataValidation>
    <dataValidation allowBlank="1" showDropDown="1" showInputMessage="1" showErrorMessage="1" sqref="F5:K15" xr:uid="{137C9E61-698B-4158-B12B-EFCCCE5FC5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F77422A-B073-4302-94A7-88ABC6DA36CC}">
          <x14:formula1>
            <xm:f>_xlfn.ANCHORARRAY(_xlfn.XLOOKUP($A5,DynamicDropDown!$MS$3:$NM$3,DynamicDropDown!$MS$4:$NM$4))</xm:f>
          </x14:formula1>
          <xm:sqref>D5:D15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6"/>
  <sheetViews>
    <sheetView workbookViewId="0">
      <pane ySplit="4" topLeftCell="A5" activePane="bottomLeft" state="frozen"/>
      <selection pane="bottomLeft" activeCell="I30" sqref="I30"/>
    </sheetView>
  </sheetViews>
  <sheetFormatPr defaultRowHeight="15" x14ac:dyDescent="0.25"/>
  <cols>
    <col min="1" max="1" width="13.7109375" customWidth="1"/>
    <col min="2" max="3" width="17.5703125" hidden="1" customWidth="1"/>
    <col min="4" max="4" width="17.5703125" customWidth="1"/>
    <col min="5" max="5" width="13.7109375" customWidth="1"/>
    <col min="6" max="6" width="20" customWidth="1"/>
    <col min="7" max="7" width="15.7109375" customWidth="1"/>
    <col min="8" max="8" width="21.7109375" customWidth="1"/>
    <col min="9" max="29" width="20.7109375" customWidth="1"/>
  </cols>
  <sheetData>
    <row r="1" spans="1:20" ht="150" customHeight="1" x14ac:dyDescent="0.25">
      <c r="A1" s="165" t="s">
        <v>6717</v>
      </c>
      <c r="B1" s="165"/>
      <c r="C1" s="165"/>
      <c r="D1" s="165"/>
      <c r="E1" s="165"/>
      <c r="F1" s="165"/>
      <c r="G1" s="165"/>
      <c r="H1" s="165"/>
      <c r="I1" s="165"/>
      <c r="J1" s="165"/>
      <c r="K1" s="165"/>
    </row>
    <row r="2" spans="1:20" ht="28.5" customHeight="1" x14ac:dyDescent="0.25">
      <c r="A2" s="36"/>
      <c r="B2" s="36"/>
      <c r="C2" s="36"/>
      <c r="D2" s="36"/>
    </row>
    <row r="3" spans="1:20" ht="32.25" customHeight="1" x14ac:dyDescent="0.25">
      <c r="A3" s="21" t="s">
        <v>1927</v>
      </c>
      <c r="B3" s="21" t="s">
        <v>6776</v>
      </c>
      <c r="C3" s="21" t="s">
        <v>6775</v>
      </c>
      <c r="D3" s="21" t="s">
        <v>6746</v>
      </c>
      <c r="E3" s="21" t="s">
        <v>6747</v>
      </c>
      <c r="F3" s="21" t="s">
        <v>6778</v>
      </c>
      <c r="G3" s="166" t="s">
        <v>2064</v>
      </c>
      <c r="H3" s="166" t="s">
        <v>2065</v>
      </c>
      <c r="I3" s="166" t="s">
        <v>2066</v>
      </c>
      <c r="J3" s="21"/>
      <c r="K3" s="21"/>
      <c r="L3" s="21"/>
      <c r="M3" s="21"/>
      <c r="N3" s="21"/>
      <c r="O3" s="21"/>
      <c r="P3" s="21"/>
      <c r="Q3" s="21"/>
      <c r="R3" s="21"/>
      <c r="S3" s="21"/>
      <c r="T3" s="21"/>
    </row>
    <row r="4" spans="1:20" x14ac:dyDescent="0.25">
      <c r="A4" s="4" t="s">
        <v>93</v>
      </c>
      <c r="B4" s="4" t="s">
        <v>4144</v>
      </c>
      <c r="C4" s="4" t="s">
        <v>4145</v>
      </c>
      <c r="D4" s="4" t="s">
        <v>6443</v>
      </c>
      <c r="E4" s="4" t="s">
        <v>116</v>
      </c>
      <c r="F4" s="4" t="s">
        <v>6946</v>
      </c>
      <c r="G4" s="4" t="s">
        <v>259</v>
      </c>
      <c r="H4" s="4" t="s">
        <v>260</v>
      </c>
      <c r="I4" s="4" t="s">
        <v>261</v>
      </c>
      <c r="J4" s="4"/>
      <c r="K4" s="4"/>
      <c r="L4" s="4"/>
      <c r="M4" s="4"/>
      <c r="N4" s="4"/>
      <c r="O4" s="4"/>
      <c r="P4" s="4"/>
      <c r="Q4" s="4"/>
    </row>
    <row r="5" spans="1:20" x14ac:dyDescent="0.25">
      <c r="A5" s="132"/>
      <c r="B5" s="132"/>
      <c r="C5" s="132"/>
      <c r="D5" s="132"/>
      <c r="E5" s="132"/>
      <c r="F5" s="132"/>
      <c r="G5" s="132"/>
      <c r="H5" s="132"/>
      <c r="I5" s="132"/>
      <c r="J5" s="4"/>
    </row>
    <row r="6" spans="1:20" x14ac:dyDescent="0.25">
      <c r="H6" s="4"/>
    </row>
  </sheetData>
  <mergeCells count="1">
    <mergeCell ref="A1:K1"/>
  </mergeCells>
  <dataValidations count="2">
    <dataValidation type="list" allowBlank="1" showInputMessage="1" showErrorMessage="1" sqref="A5" xr:uid="{A1FEE7F2-2BE1-4003-B06C-CA0C8796A3D2}">
      <formula1>ddl_experiments</formula1>
    </dataValidation>
    <dataValidation allowBlank="1" showDropDown="1" showInputMessage="1" showErrorMessage="1" sqref="K5:O5 I6:L15 G6 H7 F5:I5" xr:uid="{49A61A01-79D1-4109-A1C4-5B2C109659F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_xlfn.ANCHORARRAY(_xlfn.XLOOKUP($A5,DynamicDropDown!$MS$3:$NM$3,DynamicDropDown!$MS$4:$NM$4))</xm:f>
          </x14:formula1>
          <xm:sqref>C5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S6"/>
  <sheetViews>
    <sheetView workbookViewId="0">
      <pane ySplit="4" topLeftCell="A5" activePane="bottomLeft" state="frozen"/>
      <selection pane="bottomLeft" sqref="A1:J1"/>
    </sheetView>
  </sheetViews>
  <sheetFormatPr defaultRowHeight="15" x14ac:dyDescent="0.25"/>
  <cols>
    <col min="1" max="1" width="13.7109375" customWidth="1"/>
    <col min="2" max="3" width="17.5703125" hidden="1" customWidth="1"/>
    <col min="4" max="4" width="14.140625" customWidth="1"/>
    <col min="5" max="5" width="23" customWidth="1"/>
    <col min="6" max="6" width="27" bestFit="1" customWidth="1"/>
    <col min="7" max="7" width="15.7109375" customWidth="1"/>
    <col min="8" max="8" width="21.7109375" customWidth="1"/>
    <col min="9" max="29" width="20.7109375" customWidth="1"/>
  </cols>
  <sheetData>
    <row r="1" spans="1:19" ht="150" customHeight="1" x14ac:dyDescent="0.25">
      <c r="A1" s="165" t="s">
        <v>6948</v>
      </c>
      <c r="B1" s="165"/>
      <c r="C1" s="165"/>
      <c r="D1" s="165"/>
      <c r="E1" s="165"/>
      <c r="F1" s="165"/>
      <c r="G1" s="165"/>
      <c r="H1" s="165"/>
      <c r="I1" s="165"/>
      <c r="J1" s="165"/>
    </row>
    <row r="2" spans="1:19" ht="28.5" customHeight="1" x14ac:dyDescent="0.25">
      <c r="A2" s="36"/>
      <c r="B2" s="36"/>
      <c r="C2" s="36"/>
    </row>
    <row r="3" spans="1:19" ht="32.25" customHeight="1" x14ac:dyDescent="0.25">
      <c r="A3" s="21" t="s">
        <v>1927</v>
      </c>
      <c r="B3" s="21" t="s">
        <v>6776</v>
      </c>
      <c r="C3" s="21" t="s">
        <v>6775</v>
      </c>
      <c r="D3" s="21" t="s">
        <v>6746</v>
      </c>
      <c r="E3" s="21" t="s">
        <v>6747</v>
      </c>
      <c r="F3" s="21" t="s">
        <v>6778</v>
      </c>
      <c r="G3" s="21"/>
      <c r="H3" s="21"/>
      <c r="I3" s="21"/>
      <c r="J3" s="21"/>
      <c r="K3" s="21"/>
      <c r="L3" s="21"/>
      <c r="M3" s="21"/>
      <c r="N3" s="21"/>
      <c r="O3" s="21"/>
      <c r="P3" s="21"/>
      <c r="Q3" s="21"/>
      <c r="R3" s="21"/>
      <c r="S3" s="21"/>
    </row>
    <row r="4" spans="1:19" x14ac:dyDescent="0.25">
      <c r="A4" s="4" t="s">
        <v>93</v>
      </c>
      <c r="B4" s="4" t="s">
        <v>4144</v>
      </c>
      <c r="C4" s="4" t="s">
        <v>4145</v>
      </c>
      <c r="D4" s="4" t="s">
        <v>6443</v>
      </c>
      <c r="E4" s="4" t="s">
        <v>116</v>
      </c>
      <c r="F4" s="4" t="s">
        <v>6946</v>
      </c>
      <c r="G4" s="4"/>
      <c r="H4" s="4"/>
      <c r="I4" s="4"/>
      <c r="J4" s="4"/>
      <c r="K4" s="4"/>
      <c r="L4" s="4"/>
      <c r="M4" s="4"/>
      <c r="N4" s="4"/>
    </row>
    <row r="5" spans="1:19" x14ac:dyDescent="0.25">
      <c r="A5" s="132"/>
      <c r="B5" s="132"/>
      <c r="C5" s="132"/>
      <c r="D5" s="132"/>
      <c r="E5" s="132"/>
      <c r="F5" s="132"/>
      <c r="G5" s="4"/>
    </row>
    <row r="6" spans="1:19" x14ac:dyDescent="0.25">
      <c r="H6" s="4"/>
    </row>
  </sheetData>
  <mergeCells count="1">
    <mergeCell ref="A1:J1"/>
  </mergeCells>
  <dataValidations count="2">
    <dataValidation allowBlank="1" showDropDown="1" showInputMessage="1" showErrorMessage="1" sqref="H5:L5 I6:L15 G6 H7" xr:uid="{8865C592-40B9-4E8F-99B9-1224E4D9DDC9}"/>
    <dataValidation type="list" allowBlank="1" showInputMessage="1" showErrorMessage="1" sqref="A5:B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7843E93-96A0-4CF2-BA45-B8C39921813F}">
          <x14:formula1>
            <xm:f>_xlfn.ANCHORARRAY(_xlfn.XLOOKUP($A5,DynamicDropDown!$MS$3:$NM$3,DynamicDropDown!$MS$4:$NM$4))</xm:f>
          </x14:formula1>
          <xm:sqref>D5</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S6"/>
  <sheetViews>
    <sheetView workbookViewId="0">
      <pane ySplit="4" topLeftCell="A5" activePane="bottomLeft" state="frozen"/>
      <selection pane="bottomLeft" sqref="A1:J1"/>
    </sheetView>
  </sheetViews>
  <sheetFormatPr defaultRowHeight="15" x14ac:dyDescent="0.25"/>
  <cols>
    <col min="1" max="1" width="13.7109375" customWidth="1"/>
    <col min="2" max="3" width="17.5703125" hidden="1" customWidth="1"/>
    <col min="4" max="4" width="15.7109375" customWidth="1"/>
    <col min="5" max="5" width="25" customWidth="1"/>
    <col min="6" max="6" width="27" bestFit="1" customWidth="1"/>
    <col min="7" max="7" width="15.7109375" customWidth="1"/>
    <col min="8" max="8" width="21.7109375" customWidth="1"/>
    <col min="9" max="29" width="20.7109375" customWidth="1"/>
  </cols>
  <sheetData>
    <row r="1" spans="1:19" ht="150" customHeight="1" x14ac:dyDescent="0.25">
      <c r="A1" s="165" t="s">
        <v>6947</v>
      </c>
      <c r="B1" s="165"/>
      <c r="C1" s="165"/>
      <c r="D1" s="165"/>
      <c r="E1" s="165"/>
      <c r="F1" s="165"/>
      <c r="G1" s="165"/>
      <c r="H1" s="165"/>
      <c r="I1" s="165"/>
      <c r="J1" s="165"/>
    </row>
    <row r="2" spans="1:19" ht="28.5" customHeight="1" x14ac:dyDescent="0.25">
      <c r="A2" s="36"/>
      <c r="B2" s="36"/>
      <c r="C2" s="36"/>
    </row>
    <row r="3" spans="1:19" ht="32.25" customHeight="1" x14ac:dyDescent="0.25">
      <c r="A3" s="21" t="s">
        <v>1927</v>
      </c>
      <c r="B3" s="21" t="s">
        <v>6776</v>
      </c>
      <c r="C3" s="21" t="s">
        <v>6775</v>
      </c>
      <c r="D3" s="21" t="s">
        <v>6746</v>
      </c>
      <c r="E3" s="21" t="s">
        <v>6747</v>
      </c>
      <c r="F3" s="21" t="s">
        <v>6778</v>
      </c>
      <c r="G3" s="21"/>
      <c r="H3" s="21"/>
      <c r="I3" s="21"/>
      <c r="J3" s="21"/>
      <c r="K3" s="21"/>
      <c r="L3" s="21"/>
      <c r="M3" s="21"/>
      <c r="N3" s="21"/>
      <c r="O3" s="21"/>
      <c r="P3" s="21"/>
      <c r="Q3" s="21"/>
      <c r="R3" s="21"/>
      <c r="S3" s="21"/>
    </row>
    <row r="4" spans="1:19" x14ac:dyDescent="0.25">
      <c r="A4" s="4" t="s">
        <v>93</v>
      </c>
      <c r="B4" s="4" t="s">
        <v>4144</v>
      </c>
      <c r="C4" s="4" t="s">
        <v>4145</v>
      </c>
      <c r="D4" s="4" t="s">
        <v>6443</v>
      </c>
      <c r="E4" s="4" t="s">
        <v>116</v>
      </c>
      <c r="F4" s="4" t="s">
        <v>6946</v>
      </c>
      <c r="G4" s="4"/>
      <c r="H4" s="4"/>
      <c r="I4" s="4"/>
      <c r="J4" s="4"/>
      <c r="K4" s="4"/>
      <c r="L4" s="4"/>
      <c r="M4" s="4"/>
      <c r="N4" s="4"/>
    </row>
    <row r="5" spans="1:19" x14ac:dyDescent="0.25">
      <c r="A5" s="132"/>
      <c r="B5" s="132"/>
      <c r="C5" s="132"/>
      <c r="D5" s="132"/>
      <c r="E5" s="132"/>
      <c r="F5" s="132"/>
      <c r="G5" s="4"/>
    </row>
    <row r="6" spans="1:19" x14ac:dyDescent="0.25">
      <c r="H6" s="4"/>
    </row>
  </sheetData>
  <mergeCells count="1">
    <mergeCell ref="A1:J1"/>
  </mergeCells>
  <dataValidations count="2">
    <dataValidation type="list" allowBlank="1" showInputMessage="1" showErrorMessage="1" sqref="A5:B5" xr:uid="{D1E82FD7-FDC5-49A9-A897-56889B578C36}">
      <formula1>ddl_experiments</formula1>
    </dataValidation>
    <dataValidation allowBlank="1" showDropDown="1" showInputMessage="1" showErrorMessage="1" sqref="H5:L5 I6:L15 G6 H7" xr:uid="{2A0748B9-F8E2-4BC3-B65B-3B7E7FBE13D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5FF7180-95BD-42EC-A44F-E3E833A68AA8}">
          <x14:formula1>
            <xm:f>_xlfn.ANCHORARRAY(_xlfn.XLOOKUP($A5,DynamicDropDown!$MS$3:$NM$3,DynamicDropDown!$MS$4:$NM$4))</xm:f>
          </x14:formula1>
          <xm:sqref>D5</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S6"/>
  <sheetViews>
    <sheetView workbookViewId="0">
      <pane ySplit="4" topLeftCell="A5" activePane="bottomLeft" state="frozen"/>
      <selection pane="bottomLeft" sqref="A1:J1"/>
    </sheetView>
  </sheetViews>
  <sheetFormatPr defaultRowHeight="15" x14ac:dyDescent="0.25"/>
  <cols>
    <col min="1" max="1" width="13.7109375" customWidth="1"/>
    <col min="2" max="3" width="17.5703125" hidden="1" customWidth="1"/>
    <col min="4" max="4" width="14.28515625" customWidth="1"/>
    <col min="5" max="5" width="29.140625" customWidth="1"/>
    <col min="6" max="6" width="17.28515625" customWidth="1"/>
    <col min="7" max="7" width="15.7109375" customWidth="1"/>
    <col min="8" max="8" width="21.7109375" customWidth="1"/>
    <col min="9" max="29" width="20.7109375" customWidth="1"/>
  </cols>
  <sheetData>
    <row r="1" spans="1:19" ht="150" customHeight="1" x14ac:dyDescent="0.25">
      <c r="A1" s="165" t="s">
        <v>6949</v>
      </c>
      <c r="B1" s="165"/>
      <c r="C1" s="165"/>
      <c r="D1" s="165"/>
      <c r="E1" s="165"/>
      <c r="F1" s="165"/>
      <c r="G1" s="165"/>
      <c r="H1" s="165"/>
      <c r="I1" s="165"/>
      <c r="J1" s="165"/>
    </row>
    <row r="2" spans="1:19" ht="28.5" customHeight="1" x14ac:dyDescent="0.25">
      <c r="A2" s="36"/>
      <c r="B2" s="36"/>
      <c r="C2" s="36"/>
    </row>
    <row r="3" spans="1:19" ht="32.25" customHeight="1" x14ac:dyDescent="0.25">
      <c r="A3" s="21" t="s">
        <v>1927</v>
      </c>
      <c r="B3" s="21" t="s">
        <v>6776</v>
      </c>
      <c r="C3" s="21" t="s">
        <v>6775</v>
      </c>
      <c r="D3" s="21" t="s">
        <v>6746</v>
      </c>
      <c r="E3" s="21" t="s">
        <v>6747</v>
      </c>
      <c r="F3" s="21" t="s">
        <v>6778</v>
      </c>
      <c r="G3" s="21"/>
      <c r="H3" s="21"/>
      <c r="I3" s="21"/>
      <c r="J3" s="21"/>
      <c r="K3" s="21"/>
      <c r="L3" s="21"/>
      <c r="M3" s="21"/>
      <c r="N3" s="21"/>
      <c r="O3" s="21"/>
      <c r="P3" s="21"/>
      <c r="Q3" s="21"/>
      <c r="R3" s="21"/>
      <c r="S3" s="21"/>
    </row>
    <row r="4" spans="1:19" x14ac:dyDescent="0.25">
      <c r="A4" s="4" t="s">
        <v>93</v>
      </c>
      <c r="B4" s="4" t="s">
        <v>4144</v>
      </c>
      <c r="C4" s="4" t="s">
        <v>4145</v>
      </c>
      <c r="D4" s="4" t="s">
        <v>6443</v>
      </c>
      <c r="E4" s="4" t="s">
        <v>116</v>
      </c>
      <c r="F4" s="4" t="s">
        <v>6946</v>
      </c>
      <c r="G4" s="4"/>
      <c r="H4" s="4"/>
      <c r="I4" s="4"/>
      <c r="J4" s="4"/>
      <c r="K4" s="4"/>
      <c r="L4" s="4"/>
      <c r="M4" s="4"/>
      <c r="N4" s="4"/>
    </row>
    <row r="5" spans="1:19" x14ac:dyDescent="0.25">
      <c r="A5" s="132"/>
      <c r="B5" s="132"/>
      <c r="C5" s="132"/>
      <c r="D5" s="132"/>
      <c r="E5" s="132"/>
      <c r="F5" s="132"/>
      <c r="G5" s="4"/>
    </row>
    <row r="6" spans="1:19" x14ac:dyDescent="0.25">
      <c r="H6" s="4"/>
    </row>
  </sheetData>
  <mergeCells count="1">
    <mergeCell ref="A1:J1"/>
  </mergeCells>
  <dataValidations count="2">
    <dataValidation type="list" allowBlank="1" showInputMessage="1" showErrorMessage="1" sqref="A5:B5" xr:uid="{DCC2AD6D-3BF3-487D-97F4-4036FFE9D047}">
      <formula1>ddl_experiments</formula1>
    </dataValidation>
    <dataValidation allowBlank="1" showDropDown="1" showInputMessage="1" showErrorMessage="1" sqref="H5:L5 I6:L15 G6 H7" xr:uid="{9406BE9A-0899-4DCA-9670-1718E53D1844}"/>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8BE2D6A-B592-4454-9FCB-1A5D8C9405E5}">
          <x14:formula1>
            <xm:f>_xlfn.ANCHORARRAY(_xlfn.XLOOKUP($A5,DynamicDropDown!$MS$3:$NM$3,DynamicDropDown!$MS$4:$NM$4))</xm:f>
          </x14:formula1>
          <xm:sqref>D5</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S6"/>
  <sheetViews>
    <sheetView workbookViewId="0">
      <pane ySplit="4" topLeftCell="A5" activePane="bottomLeft" state="frozen"/>
      <selection pane="bottomLeft" sqref="A1:J1"/>
    </sheetView>
  </sheetViews>
  <sheetFormatPr defaultRowHeight="15" x14ac:dyDescent="0.25"/>
  <cols>
    <col min="1" max="1" width="13.7109375" customWidth="1"/>
    <col min="2" max="3" width="17.5703125" hidden="1" customWidth="1"/>
    <col min="4" max="4" width="13.85546875" customWidth="1"/>
    <col min="5" max="5" width="25.7109375" customWidth="1"/>
    <col min="6" max="6" width="20.42578125" customWidth="1"/>
    <col min="7" max="7" width="15.7109375" customWidth="1"/>
    <col min="8" max="8" width="21.7109375" customWidth="1"/>
    <col min="9" max="29" width="20.7109375" customWidth="1"/>
  </cols>
  <sheetData>
    <row r="1" spans="1:19" ht="150" customHeight="1" x14ac:dyDescent="0.25">
      <c r="A1" s="165" t="s">
        <v>6950</v>
      </c>
      <c r="B1" s="165"/>
      <c r="C1" s="165"/>
      <c r="D1" s="165"/>
      <c r="E1" s="165"/>
      <c r="F1" s="165"/>
      <c r="G1" s="165"/>
      <c r="H1" s="165"/>
      <c r="I1" s="165"/>
      <c r="J1" s="165"/>
    </row>
    <row r="2" spans="1:19" ht="28.5" customHeight="1" x14ac:dyDescent="0.25">
      <c r="A2" s="36"/>
      <c r="B2" s="36"/>
      <c r="C2" s="36"/>
    </row>
    <row r="3" spans="1:19" ht="32.25" customHeight="1" x14ac:dyDescent="0.25">
      <c r="A3" s="21" t="s">
        <v>1927</v>
      </c>
      <c r="B3" s="21" t="s">
        <v>6776</v>
      </c>
      <c r="C3" s="21" t="s">
        <v>6775</v>
      </c>
      <c r="D3" s="21" t="s">
        <v>6746</v>
      </c>
      <c r="E3" s="21" t="s">
        <v>6747</v>
      </c>
      <c r="F3" s="21" t="s">
        <v>6778</v>
      </c>
      <c r="G3" s="21"/>
      <c r="H3" s="21"/>
      <c r="I3" s="21"/>
      <c r="J3" s="21"/>
      <c r="K3" s="21"/>
      <c r="L3" s="21"/>
      <c r="M3" s="21"/>
      <c r="N3" s="21"/>
      <c r="O3" s="21"/>
      <c r="P3" s="21"/>
      <c r="Q3" s="21"/>
      <c r="R3" s="21"/>
      <c r="S3" s="21"/>
    </row>
    <row r="4" spans="1:19" x14ac:dyDescent="0.25">
      <c r="A4" s="4" t="s">
        <v>93</v>
      </c>
      <c r="B4" s="4" t="s">
        <v>4144</v>
      </c>
      <c r="C4" s="4" t="s">
        <v>4145</v>
      </c>
      <c r="D4" s="4" t="s">
        <v>6443</v>
      </c>
      <c r="E4" s="4" t="s">
        <v>116</v>
      </c>
      <c r="F4" s="4" t="s">
        <v>6946</v>
      </c>
      <c r="G4" s="4"/>
      <c r="H4" s="4"/>
      <c r="I4" s="4"/>
      <c r="J4" s="4"/>
      <c r="K4" s="4"/>
      <c r="L4" s="4"/>
      <c r="M4" s="4"/>
      <c r="N4" s="4"/>
    </row>
    <row r="5" spans="1:19" x14ac:dyDescent="0.25">
      <c r="A5" s="132" t="s">
        <v>6436</v>
      </c>
      <c r="B5" s="132" t="s">
        <v>6755</v>
      </c>
      <c r="C5" s="132" t="s">
        <v>6766</v>
      </c>
      <c r="D5" s="132">
        <v>3</v>
      </c>
      <c r="E5" s="132" t="s">
        <v>6751</v>
      </c>
      <c r="F5" s="132">
        <v>1</v>
      </c>
      <c r="G5" s="4"/>
    </row>
    <row r="6" spans="1:19" x14ac:dyDescent="0.25">
      <c r="A6" s="132"/>
      <c r="B6" s="132"/>
      <c r="C6" s="132"/>
      <c r="D6" s="132"/>
      <c r="E6" s="132"/>
      <c r="F6" s="132"/>
      <c r="H6" s="4"/>
    </row>
  </sheetData>
  <mergeCells count="1">
    <mergeCell ref="A1:J1"/>
  </mergeCells>
  <dataValidations count="2">
    <dataValidation allowBlank="1" showDropDown="1" showInputMessage="1" showErrorMessage="1" sqref="H5:L5 I6:L15 G6 H7" xr:uid="{4E96A4C2-1366-49AE-963D-CCAFEB53E0F8}"/>
    <dataValidation type="list" allowBlank="1" showInputMessage="1" showErrorMessage="1" sqref="A5:A6"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81D8D0C-862E-46B2-A387-FB58A722D24A}">
          <x14:formula1>
            <xm:f>_xlfn.ANCHORARRAY(_xlfn.XLOOKUP($A5,DynamicDropDown!$MS$3:$NM$3,DynamicDropDown!$MS$4:$NM$4))</xm:f>
          </x14:formula1>
          <xm:sqref>D5:D6</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5"/>
  <sheetViews>
    <sheetView workbookViewId="0">
      <pane ySplit="4" topLeftCell="A5" activePane="bottomLeft" state="frozen"/>
      <selection pane="bottomLeft" activeCell="A5" sqref="A5:XFD5"/>
    </sheetView>
  </sheetViews>
  <sheetFormatPr defaultRowHeight="15" x14ac:dyDescent="0.25"/>
  <cols>
    <col min="1" max="1" width="16.42578125" customWidth="1"/>
    <col min="2" max="3" width="17.28515625" hidden="1" customWidth="1"/>
    <col min="4" max="4" width="10.7109375" customWidth="1"/>
    <col min="5" max="5" width="25.7109375" customWidth="1"/>
    <col min="6" max="6" width="20.28515625" customWidth="1"/>
    <col min="7" max="7" width="15.7109375" customWidth="1"/>
    <col min="8" max="27" width="20.7109375" customWidth="1"/>
  </cols>
  <sheetData>
    <row r="1" spans="1:19" ht="150" customHeight="1" x14ac:dyDescent="0.25">
      <c r="A1" s="165" t="s">
        <v>6960</v>
      </c>
      <c r="B1" s="165"/>
      <c r="C1" s="165"/>
      <c r="D1" s="165"/>
      <c r="E1" s="165"/>
      <c r="F1" s="165"/>
      <c r="G1" s="165"/>
      <c r="H1" s="165"/>
      <c r="I1" s="165"/>
      <c r="J1" s="165"/>
    </row>
    <row r="2" spans="1:19" ht="28.5" customHeight="1" x14ac:dyDescent="0.25">
      <c r="A2" s="113"/>
      <c r="B2" s="113"/>
      <c r="C2" s="113"/>
      <c r="D2" s="112"/>
    </row>
    <row r="3" spans="1:19" ht="32.25" customHeight="1" x14ac:dyDescent="0.25">
      <c r="A3" s="21" t="s">
        <v>1927</v>
      </c>
      <c r="B3" s="21" t="s">
        <v>6776</v>
      </c>
      <c r="C3" s="21" t="s">
        <v>6775</v>
      </c>
      <c r="D3" s="21" t="s">
        <v>6746</v>
      </c>
      <c r="E3" s="21" t="s">
        <v>6747</v>
      </c>
      <c r="F3" s="21" t="s">
        <v>6496</v>
      </c>
      <c r="G3" s="21" t="s">
        <v>6778</v>
      </c>
      <c r="H3" s="21"/>
      <c r="I3" s="21"/>
      <c r="J3" s="21"/>
      <c r="K3" s="21"/>
      <c r="L3" s="21"/>
      <c r="M3" s="21"/>
      <c r="N3" s="21"/>
      <c r="O3" s="21"/>
      <c r="P3" s="21"/>
      <c r="Q3" s="21"/>
      <c r="R3" s="21"/>
      <c r="S3" s="21"/>
    </row>
    <row r="4" spans="1:19" x14ac:dyDescent="0.25">
      <c r="A4" s="4" t="s">
        <v>93</v>
      </c>
      <c r="B4" s="4" t="s">
        <v>4144</v>
      </c>
      <c r="C4" s="4" t="s">
        <v>4145</v>
      </c>
      <c r="D4" s="4" t="s">
        <v>6443</v>
      </c>
      <c r="E4" s="4" t="s">
        <v>116</v>
      </c>
      <c r="F4" s="4" t="s">
        <v>267</v>
      </c>
      <c r="G4" s="4" t="s">
        <v>6946</v>
      </c>
      <c r="H4" s="4"/>
      <c r="I4" s="4"/>
      <c r="J4" s="133"/>
      <c r="K4" s="133"/>
      <c r="L4" s="133"/>
      <c r="M4" s="4"/>
      <c r="N4" s="4"/>
      <c r="O4" s="4"/>
      <c r="P4" s="4"/>
      <c r="Q4" s="133"/>
      <c r="R4" s="133"/>
      <c r="S4" s="133"/>
    </row>
    <row r="5" spans="1:19" x14ac:dyDescent="0.25">
      <c r="A5" s="132"/>
      <c r="B5" s="132"/>
      <c r="C5" s="132"/>
      <c r="D5" s="178"/>
      <c r="E5" s="159"/>
      <c r="F5" s="162"/>
      <c r="G5" s="160"/>
    </row>
  </sheetData>
  <mergeCells count="1">
    <mergeCell ref="A1:J1"/>
  </mergeCells>
  <dataValidations count="1">
    <dataValidation type="list" allowBlank="1" showInputMessage="1" showErrorMessage="1" sqref="A5" xr:uid="{4DF27D52-454A-4E0F-941C-ABFEE29558A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B2FB4F1D-5E62-4BBD-88BE-4124C09A01EE}">
          <x14:formula1>
            <xm:f>_xlfn.ANCHORARRAY(_xlfn.XLOOKUP($A5,DynamicDropDown!$MS$3:$NM$3,DynamicDropDown!$MS$4:$NM$4))</xm:f>
          </x14:formula1>
          <xm:sqref>D5</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S5"/>
  <sheetViews>
    <sheetView workbookViewId="0">
      <pane ySplit="4" topLeftCell="A5" activePane="bottomLeft" state="frozen"/>
      <selection pane="bottomLeft" sqref="A1:J1"/>
    </sheetView>
  </sheetViews>
  <sheetFormatPr defaultRowHeight="15" x14ac:dyDescent="0.25"/>
  <cols>
    <col min="1" max="1" width="16.42578125" customWidth="1"/>
    <col min="2" max="3" width="17.28515625" hidden="1" customWidth="1"/>
    <col min="4" max="4" width="10.7109375" customWidth="1"/>
    <col min="5" max="5" width="25.7109375" customWidth="1"/>
    <col min="6" max="6" width="20.28515625" customWidth="1"/>
    <col min="7" max="7" width="15.7109375" customWidth="1"/>
    <col min="8" max="27" width="20.7109375" customWidth="1"/>
  </cols>
  <sheetData>
    <row r="1" spans="1:19" ht="150" customHeight="1" x14ac:dyDescent="0.25">
      <c r="A1" s="165" t="s">
        <v>6953</v>
      </c>
      <c r="B1" s="165"/>
      <c r="C1" s="165"/>
      <c r="D1" s="165"/>
      <c r="E1" s="165"/>
      <c r="F1" s="165"/>
      <c r="G1" s="165"/>
      <c r="H1" s="165"/>
      <c r="I1" s="165"/>
      <c r="J1" s="165"/>
    </row>
    <row r="2" spans="1:19" ht="28.5" customHeight="1" x14ac:dyDescent="0.25">
      <c r="A2" s="113"/>
      <c r="B2" s="113"/>
      <c r="C2" s="113"/>
      <c r="D2" s="112"/>
    </row>
    <row r="3" spans="1:19" ht="32.25" customHeight="1" x14ac:dyDescent="0.25">
      <c r="A3" s="21" t="s">
        <v>1927</v>
      </c>
      <c r="B3" s="21" t="s">
        <v>6776</v>
      </c>
      <c r="C3" s="21" t="s">
        <v>6775</v>
      </c>
      <c r="D3" s="21" t="s">
        <v>6746</v>
      </c>
      <c r="E3" s="21" t="s">
        <v>6747</v>
      </c>
      <c r="F3" s="21" t="s">
        <v>6496</v>
      </c>
      <c r="G3" s="21" t="s">
        <v>6778</v>
      </c>
      <c r="H3" s="21"/>
      <c r="I3" s="21"/>
      <c r="J3" s="21"/>
      <c r="K3" s="21"/>
      <c r="L3" s="21"/>
      <c r="M3" s="21"/>
      <c r="N3" s="21"/>
      <c r="O3" s="21"/>
      <c r="P3" s="21"/>
      <c r="Q3" s="21"/>
      <c r="R3" s="21"/>
      <c r="S3" s="21"/>
    </row>
    <row r="4" spans="1:19" x14ac:dyDescent="0.25">
      <c r="A4" s="4" t="s">
        <v>93</v>
      </c>
      <c r="B4" s="4" t="s">
        <v>4144</v>
      </c>
      <c r="C4" s="4" t="s">
        <v>4145</v>
      </c>
      <c r="D4" s="4" t="s">
        <v>6443</v>
      </c>
      <c r="E4" s="4" t="s">
        <v>116</v>
      </c>
      <c r="F4" s="4" t="s">
        <v>267</v>
      </c>
      <c r="G4" s="4" t="s">
        <v>6946</v>
      </c>
      <c r="H4" s="4"/>
      <c r="I4" s="4"/>
      <c r="J4" s="133"/>
      <c r="K4" s="133"/>
      <c r="L4" s="133"/>
      <c r="M4" s="4"/>
      <c r="N4" s="4"/>
      <c r="O4" s="4"/>
      <c r="P4" s="4"/>
      <c r="Q4" s="133"/>
      <c r="R4" s="133"/>
      <c r="S4" s="133"/>
    </row>
    <row r="5" spans="1:19" x14ac:dyDescent="0.25">
      <c r="A5" s="132"/>
      <c r="B5" s="132"/>
      <c r="C5" s="132"/>
      <c r="D5" s="132"/>
      <c r="E5" s="159"/>
      <c r="F5" s="158"/>
      <c r="G5" s="160"/>
      <c r="H5" s="134"/>
      <c r="I5" s="12"/>
      <c r="J5" s="134"/>
      <c r="K5" s="134"/>
      <c r="L5" s="134"/>
      <c r="M5" s="134"/>
      <c r="N5" s="134"/>
      <c r="O5" s="134"/>
      <c r="P5" s="134"/>
      <c r="Q5" s="134"/>
      <c r="R5" s="134"/>
      <c r="S5" s="134"/>
    </row>
  </sheetData>
  <mergeCells count="1">
    <mergeCell ref="A1:J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E3497CB9-EB6B-44C9-906C-1C8A629C0938}">
          <x14:formula1>
            <xm:f>_xlfn.ANCHORARRAY(_xlfn.XLOOKUP($A5,DynamicDropDown!$MS$3:$NM$3,DynamicDropDown!$MS$4:$NM$4))</xm:f>
          </x14:formula1>
          <xm:sqref>D5</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S5"/>
  <sheetViews>
    <sheetView workbookViewId="0">
      <pane ySplit="4" topLeftCell="A5" activePane="bottomLeft" state="frozen"/>
      <selection pane="bottomLeft" sqref="A1:J1"/>
    </sheetView>
  </sheetViews>
  <sheetFormatPr defaultRowHeight="15" x14ac:dyDescent="0.25"/>
  <cols>
    <col min="1" max="1" width="16.42578125" customWidth="1"/>
    <col min="2" max="3" width="17.28515625" hidden="1" customWidth="1"/>
    <col min="4" max="4" width="10.7109375" customWidth="1"/>
    <col min="5" max="5" width="25.7109375" customWidth="1"/>
    <col min="6" max="6" width="20.28515625" customWidth="1"/>
    <col min="7" max="7" width="15.7109375" customWidth="1"/>
    <col min="8" max="27" width="20.7109375" customWidth="1"/>
  </cols>
  <sheetData>
    <row r="1" spans="1:19" ht="150" customHeight="1" x14ac:dyDescent="0.25">
      <c r="A1" s="165" t="s">
        <v>6959</v>
      </c>
      <c r="B1" s="165"/>
      <c r="C1" s="165"/>
      <c r="D1" s="165"/>
      <c r="E1" s="165"/>
      <c r="F1" s="165"/>
      <c r="G1" s="165"/>
      <c r="H1" s="165"/>
      <c r="I1" s="165"/>
      <c r="J1" s="165"/>
    </row>
    <row r="2" spans="1:19" ht="28.5" customHeight="1" x14ac:dyDescent="0.25">
      <c r="A2" s="113"/>
      <c r="B2" s="113"/>
      <c r="C2" s="113"/>
      <c r="D2" s="112"/>
    </row>
    <row r="3" spans="1:19" ht="32.25" customHeight="1" x14ac:dyDescent="0.25">
      <c r="A3" s="21" t="s">
        <v>1927</v>
      </c>
      <c r="B3" s="21" t="s">
        <v>6776</v>
      </c>
      <c r="C3" s="21" t="s">
        <v>6775</v>
      </c>
      <c r="D3" s="21" t="s">
        <v>6746</v>
      </c>
      <c r="E3" s="21" t="s">
        <v>6747</v>
      </c>
      <c r="F3" s="21" t="s">
        <v>6496</v>
      </c>
      <c r="G3" s="21" t="s">
        <v>6778</v>
      </c>
      <c r="H3" s="21"/>
      <c r="I3" s="21"/>
      <c r="J3" s="21"/>
      <c r="K3" s="21"/>
      <c r="L3" s="21"/>
      <c r="M3" s="21"/>
      <c r="N3" s="21"/>
      <c r="O3" s="21"/>
      <c r="P3" s="21"/>
      <c r="Q3" s="21"/>
      <c r="R3" s="21"/>
      <c r="S3" s="21"/>
    </row>
    <row r="4" spans="1:19" x14ac:dyDescent="0.25">
      <c r="A4" s="4" t="s">
        <v>93</v>
      </c>
      <c r="B4" s="4" t="s">
        <v>4144</v>
      </c>
      <c r="C4" s="4" t="s">
        <v>4145</v>
      </c>
      <c r="D4" s="4" t="s">
        <v>6443</v>
      </c>
      <c r="E4" s="4" t="s">
        <v>116</v>
      </c>
      <c r="F4" s="4" t="s">
        <v>267</v>
      </c>
      <c r="G4" s="4" t="s">
        <v>6946</v>
      </c>
      <c r="H4" s="4"/>
      <c r="I4" s="4"/>
      <c r="J4" s="133"/>
      <c r="K4" s="133"/>
      <c r="L4" s="133"/>
      <c r="M4" s="4"/>
      <c r="N4" s="4"/>
      <c r="O4" s="4"/>
      <c r="P4" s="4"/>
      <c r="Q4" s="133"/>
      <c r="R4" s="133"/>
      <c r="S4" s="133"/>
    </row>
    <row r="5" spans="1:19" x14ac:dyDescent="0.25">
      <c r="A5" s="132"/>
      <c r="B5" s="132"/>
      <c r="C5" s="132"/>
      <c r="D5" s="132"/>
      <c r="E5" s="159"/>
      <c r="F5" s="158"/>
      <c r="G5" s="160"/>
      <c r="H5" s="134"/>
      <c r="I5" s="12"/>
      <c r="J5" s="134"/>
      <c r="K5" s="134"/>
      <c r="L5" s="134"/>
      <c r="M5" s="134"/>
      <c r="N5" s="134"/>
      <c r="O5" s="134"/>
      <c r="P5" s="134"/>
      <c r="Q5" s="134"/>
      <c r="R5" s="134"/>
      <c r="S5" s="134"/>
    </row>
  </sheetData>
  <mergeCells count="1">
    <mergeCell ref="A1:J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F900FC1-A8EC-4D79-8D79-1464D8074C87}">
          <x14:formula1>
            <xm:f>_xlfn.ANCHORARRAY(_xlfn.XLOOKUP($A5,DynamicDropDown!$MS$3:$NM$3,DynamicDropDown!$MS$4:$NM$4))</xm:f>
          </x14:formula1>
          <xm:sqref>D5</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S5"/>
  <sheetViews>
    <sheetView workbookViewId="0">
      <pane ySplit="4" topLeftCell="A5" activePane="bottomLeft" state="frozen"/>
      <selection pane="bottomLeft" sqref="A1:J1"/>
    </sheetView>
  </sheetViews>
  <sheetFormatPr defaultRowHeight="15" x14ac:dyDescent="0.25"/>
  <cols>
    <col min="1" max="1" width="16.42578125" customWidth="1"/>
    <col min="2" max="3" width="17.28515625" hidden="1" customWidth="1"/>
    <col min="4" max="4" width="10.7109375" customWidth="1"/>
    <col min="5" max="5" width="25.7109375" customWidth="1"/>
    <col min="6" max="6" width="20.28515625" customWidth="1"/>
    <col min="7" max="7" width="15.7109375" customWidth="1"/>
    <col min="8" max="27" width="20.7109375" customWidth="1"/>
  </cols>
  <sheetData>
    <row r="1" spans="1:19" ht="150" customHeight="1" x14ac:dyDescent="0.25">
      <c r="A1" s="165" t="s">
        <v>6958</v>
      </c>
      <c r="B1" s="165"/>
      <c r="C1" s="165"/>
      <c r="D1" s="165"/>
      <c r="E1" s="165"/>
      <c r="F1" s="165"/>
      <c r="G1" s="165"/>
      <c r="H1" s="165"/>
      <c r="I1" s="165"/>
      <c r="J1" s="165"/>
    </row>
    <row r="2" spans="1:19" ht="28.5" customHeight="1" x14ac:dyDescent="0.25">
      <c r="A2" s="113"/>
      <c r="B2" s="113"/>
      <c r="C2" s="113"/>
      <c r="D2" s="112"/>
    </row>
    <row r="3" spans="1:19" ht="32.25" customHeight="1" x14ac:dyDescent="0.25">
      <c r="A3" s="21" t="s">
        <v>1927</v>
      </c>
      <c r="B3" s="21" t="s">
        <v>6776</v>
      </c>
      <c r="C3" s="21" t="s">
        <v>6775</v>
      </c>
      <c r="D3" s="21" t="s">
        <v>6746</v>
      </c>
      <c r="E3" s="21" t="s">
        <v>6747</v>
      </c>
      <c r="F3" s="21" t="s">
        <v>6496</v>
      </c>
      <c r="G3" s="21" t="s">
        <v>6778</v>
      </c>
      <c r="H3" s="21"/>
      <c r="I3" s="21"/>
      <c r="J3" s="21"/>
      <c r="K3" s="21"/>
      <c r="L3" s="21"/>
      <c r="M3" s="21"/>
      <c r="N3" s="21"/>
      <c r="O3" s="21"/>
      <c r="P3" s="21"/>
      <c r="Q3" s="21"/>
      <c r="R3" s="21"/>
      <c r="S3" s="21"/>
    </row>
    <row r="4" spans="1:19" x14ac:dyDescent="0.25">
      <c r="A4" s="4" t="s">
        <v>93</v>
      </c>
      <c r="B4" s="4" t="s">
        <v>4144</v>
      </c>
      <c r="C4" s="4" t="s">
        <v>4145</v>
      </c>
      <c r="D4" s="4" t="s">
        <v>6443</v>
      </c>
      <c r="E4" s="4" t="s">
        <v>116</v>
      </c>
      <c r="F4" s="4" t="s">
        <v>267</v>
      </c>
      <c r="G4" s="4" t="s">
        <v>6946</v>
      </c>
      <c r="H4" s="4"/>
      <c r="I4" s="4"/>
      <c r="J4" s="133"/>
      <c r="K4" s="133"/>
      <c r="L4" s="133"/>
      <c r="M4" s="4"/>
      <c r="N4" s="4"/>
      <c r="O4" s="4"/>
      <c r="P4" s="4"/>
      <c r="Q4" s="133"/>
      <c r="R4" s="133"/>
      <c r="S4" s="133"/>
    </row>
    <row r="5" spans="1:19" x14ac:dyDescent="0.25">
      <c r="A5" s="132"/>
      <c r="B5" s="132"/>
      <c r="C5" s="132"/>
      <c r="D5" s="132"/>
      <c r="E5" s="159"/>
      <c r="F5" s="158"/>
      <c r="G5" s="160"/>
      <c r="H5" s="134"/>
      <c r="I5" s="12"/>
      <c r="J5" s="134"/>
      <c r="K5" s="134"/>
      <c r="L5" s="134"/>
      <c r="M5" s="134"/>
      <c r="N5" s="134"/>
      <c r="O5" s="134"/>
      <c r="P5" s="134"/>
      <c r="Q5" s="134"/>
      <c r="R5" s="134"/>
      <c r="S5" s="134"/>
    </row>
  </sheetData>
  <mergeCells count="1">
    <mergeCell ref="A1:J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0FE352-9D30-4410-89C5-0C7E165E8E93}">
          <x14:formula1>
            <xm:f>_xlfn.ANCHORARRAY(_xlfn.XLOOKUP($A5,DynamicDropDown!$MS$3:$NM$3,DynamicDropDown!$MS$4:$NM$4))</xm:f>
          </x14:formula1>
          <xm:sqref>D5</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S5"/>
  <sheetViews>
    <sheetView workbookViewId="0">
      <pane ySplit="4" topLeftCell="A5" activePane="bottomLeft" state="frozen"/>
      <selection pane="bottomLeft" sqref="A1:J1"/>
    </sheetView>
  </sheetViews>
  <sheetFormatPr defaultRowHeight="15" x14ac:dyDescent="0.25"/>
  <cols>
    <col min="1" max="1" width="16.42578125" customWidth="1"/>
    <col min="2" max="3" width="17.28515625" hidden="1" customWidth="1"/>
    <col min="4" max="4" width="10.7109375" customWidth="1"/>
    <col min="5" max="5" width="25.7109375" customWidth="1"/>
    <col min="6" max="6" width="20.28515625" customWidth="1"/>
    <col min="7" max="7" width="15.7109375" customWidth="1"/>
    <col min="8" max="27" width="20.7109375" customWidth="1"/>
  </cols>
  <sheetData>
    <row r="1" spans="1:19" ht="150" customHeight="1" x14ac:dyDescent="0.25">
      <c r="A1" s="165" t="s">
        <v>6957</v>
      </c>
      <c r="B1" s="165"/>
      <c r="C1" s="165"/>
      <c r="D1" s="165"/>
      <c r="E1" s="165"/>
      <c r="F1" s="165"/>
      <c r="G1" s="165"/>
      <c r="H1" s="165"/>
      <c r="I1" s="165"/>
      <c r="J1" s="165"/>
    </row>
    <row r="2" spans="1:19" ht="28.5" customHeight="1" x14ac:dyDescent="0.25">
      <c r="A2" s="113"/>
      <c r="B2" s="113"/>
      <c r="C2" s="113"/>
      <c r="D2" s="112"/>
    </row>
    <row r="3" spans="1:19" ht="32.25" customHeight="1" x14ac:dyDescent="0.25">
      <c r="A3" s="21" t="s">
        <v>1927</v>
      </c>
      <c r="B3" s="21" t="s">
        <v>6776</v>
      </c>
      <c r="C3" s="21" t="s">
        <v>6775</v>
      </c>
      <c r="D3" s="21" t="s">
        <v>6746</v>
      </c>
      <c r="E3" s="21" t="s">
        <v>6747</v>
      </c>
      <c r="F3" s="21" t="s">
        <v>6496</v>
      </c>
      <c r="G3" s="21" t="s">
        <v>6778</v>
      </c>
      <c r="H3" s="21"/>
      <c r="I3" s="21"/>
      <c r="J3" s="21"/>
      <c r="K3" s="21"/>
      <c r="L3" s="21"/>
      <c r="M3" s="21"/>
      <c r="N3" s="21"/>
      <c r="O3" s="21"/>
      <c r="P3" s="21"/>
      <c r="Q3" s="21"/>
      <c r="R3" s="21"/>
      <c r="S3" s="21"/>
    </row>
    <row r="4" spans="1:19" x14ac:dyDescent="0.25">
      <c r="A4" s="4" t="s">
        <v>93</v>
      </c>
      <c r="B4" s="4" t="s">
        <v>4144</v>
      </c>
      <c r="C4" s="4" t="s">
        <v>4145</v>
      </c>
      <c r="D4" s="4" t="s">
        <v>6443</v>
      </c>
      <c r="E4" s="4" t="s">
        <v>116</v>
      </c>
      <c r="F4" s="4" t="s">
        <v>267</v>
      </c>
      <c r="G4" s="4" t="s">
        <v>6946</v>
      </c>
      <c r="H4" s="4"/>
      <c r="I4" s="4"/>
      <c r="J4" s="133"/>
      <c r="K4" s="133"/>
      <c r="L4" s="133"/>
      <c r="M4" s="4"/>
      <c r="N4" s="4"/>
      <c r="O4" s="4"/>
      <c r="P4" s="4"/>
      <c r="Q4" s="133"/>
      <c r="R4" s="133"/>
      <c r="S4" s="133"/>
    </row>
    <row r="5" spans="1:19" x14ac:dyDescent="0.25">
      <c r="A5" s="132"/>
      <c r="B5" s="132"/>
      <c r="C5" s="132"/>
      <c r="D5" s="132"/>
      <c r="E5" s="159"/>
      <c r="F5" s="158"/>
      <c r="G5" s="160"/>
      <c r="H5" s="134"/>
      <c r="I5" s="12"/>
      <c r="J5" s="134"/>
      <c r="K5" s="134"/>
      <c r="L5" s="134"/>
      <c r="M5" s="134"/>
      <c r="N5" s="134"/>
      <c r="O5" s="134"/>
      <c r="P5" s="134"/>
      <c r="Q5" s="134"/>
      <c r="R5" s="134"/>
      <c r="S5" s="134"/>
    </row>
  </sheetData>
  <mergeCells count="1">
    <mergeCell ref="A1:J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0FA4B2C-B859-4761-85E5-0CA57EB6E131}">
          <x14:formula1>
            <xm:f>_xlfn.ANCHORARRAY(_xlfn.XLOOKUP($A5,DynamicDropDown!$MS$3:$NM$3,DynamicDropDown!$MS$4:$NM$4))</xm:f>
          </x14:formula1>
          <xm:sqref>D5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S5"/>
  <sheetViews>
    <sheetView workbookViewId="0">
      <pane ySplit="4" topLeftCell="A5" activePane="bottomLeft" state="frozen"/>
      <selection pane="bottomLeft" sqref="A1:J1"/>
    </sheetView>
  </sheetViews>
  <sheetFormatPr defaultRowHeight="15" x14ac:dyDescent="0.25"/>
  <cols>
    <col min="1" max="1" width="16.42578125" customWidth="1"/>
    <col min="2" max="3" width="17.28515625" hidden="1" customWidth="1"/>
    <col min="4" max="4" width="10.7109375" customWidth="1"/>
    <col min="5" max="5" width="25.7109375" customWidth="1"/>
    <col min="6" max="6" width="20.28515625" customWidth="1"/>
    <col min="7" max="7" width="15.7109375" customWidth="1"/>
    <col min="8" max="27" width="20.7109375" customWidth="1"/>
  </cols>
  <sheetData>
    <row r="1" spans="1:19" ht="150" customHeight="1" x14ac:dyDescent="0.25">
      <c r="A1" s="165" t="s">
        <v>6956</v>
      </c>
      <c r="B1" s="165"/>
      <c r="C1" s="165"/>
      <c r="D1" s="165"/>
      <c r="E1" s="165"/>
      <c r="F1" s="165"/>
      <c r="G1" s="165"/>
      <c r="H1" s="165"/>
      <c r="I1" s="165"/>
      <c r="J1" s="165"/>
    </row>
    <row r="2" spans="1:19" ht="28.5" customHeight="1" x14ac:dyDescent="0.25">
      <c r="A2" s="113"/>
      <c r="B2" s="113"/>
      <c r="C2" s="113"/>
      <c r="D2" s="112"/>
    </row>
    <row r="3" spans="1:19" ht="32.25" customHeight="1" x14ac:dyDescent="0.25">
      <c r="A3" s="21" t="s">
        <v>1927</v>
      </c>
      <c r="B3" s="21" t="s">
        <v>6776</v>
      </c>
      <c r="C3" s="21" t="s">
        <v>6775</v>
      </c>
      <c r="D3" s="21" t="s">
        <v>6746</v>
      </c>
      <c r="E3" s="21" t="s">
        <v>6747</v>
      </c>
      <c r="F3" s="21" t="s">
        <v>6496</v>
      </c>
      <c r="G3" s="21" t="s">
        <v>6778</v>
      </c>
      <c r="H3" s="21"/>
      <c r="I3" s="21"/>
      <c r="J3" s="21"/>
      <c r="K3" s="21"/>
      <c r="L3" s="21"/>
      <c r="M3" s="21"/>
      <c r="N3" s="21"/>
      <c r="O3" s="21"/>
      <c r="P3" s="21"/>
      <c r="Q3" s="21"/>
      <c r="R3" s="21"/>
      <c r="S3" s="21"/>
    </row>
    <row r="4" spans="1:19" x14ac:dyDescent="0.25">
      <c r="A4" s="4" t="s">
        <v>93</v>
      </c>
      <c r="B4" s="4" t="s">
        <v>4144</v>
      </c>
      <c r="C4" s="4" t="s">
        <v>4145</v>
      </c>
      <c r="D4" s="4" t="s">
        <v>6443</v>
      </c>
      <c r="E4" s="4" t="s">
        <v>116</v>
      </c>
      <c r="F4" s="4" t="s">
        <v>267</v>
      </c>
      <c r="G4" s="4" t="s">
        <v>6946</v>
      </c>
      <c r="H4" s="4"/>
      <c r="I4" s="4"/>
      <c r="J4" s="133"/>
      <c r="K4" s="133"/>
      <c r="L4" s="133"/>
      <c r="M4" s="4"/>
      <c r="N4" s="4"/>
      <c r="O4" s="4"/>
      <c r="P4" s="4"/>
      <c r="Q4" s="133"/>
      <c r="R4" s="133"/>
      <c r="S4" s="133"/>
    </row>
    <row r="5" spans="1:19" x14ac:dyDescent="0.25">
      <c r="A5" s="132"/>
      <c r="B5" s="132"/>
      <c r="C5" s="132"/>
      <c r="D5" s="132"/>
      <c r="E5" s="159"/>
      <c r="F5" s="158"/>
      <c r="G5" s="160"/>
      <c r="H5" s="134"/>
      <c r="I5" s="12"/>
      <c r="J5" s="134"/>
      <c r="K5" s="134"/>
      <c r="L5" s="134"/>
      <c r="M5" s="134"/>
      <c r="N5" s="134"/>
      <c r="O5" s="134"/>
      <c r="P5" s="134"/>
      <c r="Q5" s="134"/>
      <c r="R5" s="134"/>
      <c r="S5" s="134"/>
    </row>
  </sheetData>
  <mergeCells count="1">
    <mergeCell ref="A1:J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FCD9103-B390-4487-9F7C-D23472A2B282}">
          <x14:formula1>
            <xm:f>_xlfn.ANCHORARRAY(_xlfn.XLOOKUP($A5,DynamicDropDown!$MS$3:$NM$3,DynamicDropDown!$MS$4:$NM$4))</xm:f>
          </x14:formula1>
          <xm:sqref>D5</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S5"/>
  <sheetViews>
    <sheetView workbookViewId="0">
      <pane ySplit="4" topLeftCell="A5" activePane="bottomLeft" state="frozen"/>
      <selection pane="bottomLeft" sqref="A1:J1"/>
    </sheetView>
  </sheetViews>
  <sheetFormatPr defaultRowHeight="15" x14ac:dyDescent="0.25"/>
  <cols>
    <col min="1" max="1" width="16.42578125" customWidth="1"/>
    <col min="2" max="3" width="17.28515625" hidden="1" customWidth="1"/>
    <col min="4" max="4" width="10.7109375" customWidth="1"/>
    <col min="5" max="5" width="25.7109375" customWidth="1"/>
    <col min="6" max="6" width="20.28515625" customWidth="1"/>
    <col min="7" max="7" width="15.7109375" customWidth="1"/>
    <col min="8" max="27" width="20.7109375" customWidth="1"/>
  </cols>
  <sheetData>
    <row r="1" spans="1:19" ht="150" customHeight="1" x14ac:dyDescent="0.25">
      <c r="A1" s="165" t="s">
        <v>6955</v>
      </c>
      <c r="B1" s="165"/>
      <c r="C1" s="165"/>
      <c r="D1" s="165"/>
      <c r="E1" s="165"/>
      <c r="F1" s="165"/>
      <c r="G1" s="165"/>
      <c r="H1" s="165"/>
      <c r="I1" s="165"/>
      <c r="J1" s="165"/>
    </row>
    <row r="2" spans="1:19" ht="28.5" customHeight="1" x14ac:dyDescent="0.25">
      <c r="A2" s="113"/>
      <c r="B2" s="113"/>
      <c r="C2" s="113"/>
      <c r="D2" s="112"/>
    </row>
    <row r="3" spans="1:19" ht="32.25" customHeight="1" x14ac:dyDescent="0.25">
      <c r="A3" s="21" t="s">
        <v>1927</v>
      </c>
      <c r="B3" s="21" t="s">
        <v>6776</v>
      </c>
      <c r="C3" s="21" t="s">
        <v>6775</v>
      </c>
      <c r="D3" s="21" t="s">
        <v>6746</v>
      </c>
      <c r="E3" s="21" t="s">
        <v>6747</v>
      </c>
      <c r="F3" s="21" t="s">
        <v>6496</v>
      </c>
      <c r="G3" s="21" t="s">
        <v>6778</v>
      </c>
      <c r="H3" s="21"/>
      <c r="I3" s="21"/>
      <c r="J3" s="21"/>
      <c r="K3" s="21"/>
      <c r="L3" s="21"/>
      <c r="M3" s="21"/>
      <c r="N3" s="21"/>
      <c r="O3" s="21"/>
      <c r="P3" s="21"/>
      <c r="Q3" s="21"/>
      <c r="R3" s="21"/>
      <c r="S3" s="21"/>
    </row>
    <row r="4" spans="1:19" x14ac:dyDescent="0.25">
      <c r="A4" s="4" t="s">
        <v>93</v>
      </c>
      <c r="B4" s="4" t="s">
        <v>4144</v>
      </c>
      <c r="C4" s="4" t="s">
        <v>4145</v>
      </c>
      <c r="D4" s="4" t="s">
        <v>6443</v>
      </c>
      <c r="E4" s="4" t="s">
        <v>116</v>
      </c>
      <c r="F4" s="4" t="s">
        <v>267</v>
      </c>
      <c r="G4" s="4" t="s">
        <v>6946</v>
      </c>
      <c r="H4" s="4"/>
      <c r="I4" s="4"/>
      <c r="J4" s="133"/>
      <c r="K4" s="133"/>
      <c r="L4" s="133"/>
      <c r="M4" s="4"/>
      <c r="N4" s="4"/>
      <c r="O4" s="4"/>
      <c r="P4" s="4"/>
      <c r="Q4" s="133"/>
      <c r="R4" s="133"/>
      <c r="S4" s="133"/>
    </row>
    <row r="5" spans="1:19" x14ac:dyDescent="0.25">
      <c r="A5" s="132"/>
      <c r="B5" s="132"/>
      <c r="C5" s="132"/>
      <c r="D5" s="132"/>
      <c r="E5" s="159"/>
      <c r="F5" s="158"/>
      <c r="G5" s="160"/>
      <c r="H5" s="134"/>
      <c r="I5" s="12"/>
      <c r="J5" s="134"/>
      <c r="K5" s="134"/>
      <c r="L5" s="134"/>
      <c r="M5" s="134"/>
      <c r="N5" s="134"/>
      <c r="O5" s="134"/>
      <c r="P5" s="134"/>
      <c r="Q5" s="134"/>
      <c r="R5" s="134"/>
      <c r="S5" s="134"/>
    </row>
  </sheetData>
  <mergeCells count="1">
    <mergeCell ref="A1:J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F82953DC-F454-4E52-A856-5E3A68E2951D}">
          <x14:formula1>
            <xm:f>_xlfn.ANCHORARRAY(_xlfn.XLOOKUP($A5,DynamicDropDown!$MS$3:$NM$3,DynamicDropDown!$MS$4:$NM$4))</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S5"/>
  <sheetViews>
    <sheetView workbookViewId="0">
      <pane ySplit="4" topLeftCell="A5" activePane="bottomLeft" state="frozen"/>
      <selection pane="bottomLeft" sqref="A1:J1"/>
    </sheetView>
  </sheetViews>
  <sheetFormatPr defaultRowHeight="15" x14ac:dyDescent="0.25"/>
  <cols>
    <col min="1" max="1" width="16.42578125" customWidth="1"/>
    <col min="2" max="3" width="17.28515625" hidden="1" customWidth="1"/>
    <col min="4" max="4" width="10.7109375" customWidth="1"/>
    <col min="5" max="5" width="25.7109375" customWidth="1"/>
    <col min="6" max="6" width="20.28515625" customWidth="1"/>
    <col min="7" max="7" width="15.7109375" customWidth="1"/>
    <col min="8" max="27" width="20.7109375" customWidth="1"/>
  </cols>
  <sheetData>
    <row r="1" spans="1:19" ht="150" customHeight="1" x14ac:dyDescent="0.25">
      <c r="A1" s="165" t="s">
        <v>6954</v>
      </c>
      <c r="B1" s="165"/>
      <c r="C1" s="165"/>
      <c r="D1" s="165"/>
      <c r="E1" s="165"/>
      <c r="F1" s="165"/>
      <c r="G1" s="165"/>
      <c r="H1" s="165"/>
      <c r="I1" s="165"/>
      <c r="J1" s="165"/>
    </row>
    <row r="2" spans="1:19" ht="28.5" customHeight="1" x14ac:dyDescent="0.25">
      <c r="A2" s="113"/>
      <c r="B2" s="113"/>
      <c r="C2" s="113"/>
      <c r="D2" s="112"/>
    </row>
    <row r="3" spans="1:19" ht="32.25" customHeight="1" x14ac:dyDescent="0.25">
      <c r="A3" s="21" t="s">
        <v>1927</v>
      </c>
      <c r="B3" s="21" t="s">
        <v>6776</v>
      </c>
      <c r="C3" s="21" t="s">
        <v>6775</v>
      </c>
      <c r="D3" s="21" t="s">
        <v>6746</v>
      </c>
      <c r="E3" s="21" t="s">
        <v>6747</v>
      </c>
      <c r="F3" s="21" t="s">
        <v>6496</v>
      </c>
      <c r="G3" s="21" t="s">
        <v>6778</v>
      </c>
      <c r="H3" s="21"/>
      <c r="I3" s="21"/>
      <c r="J3" s="21"/>
      <c r="K3" s="21"/>
      <c r="L3" s="21"/>
      <c r="M3" s="21"/>
      <c r="N3" s="21"/>
      <c r="O3" s="21"/>
      <c r="P3" s="21"/>
      <c r="Q3" s="21"/>
      <c r="R3" s="21"/>
      <c r="S3" s="21"/>
    </row>
    <row r="4" spans="1:19" x14ac:dyDescent="0.25">
      <c r="A4" s="4" t="s">
        <v>93</v>
      </c>
      <c r="B4" s="4" t="s">
        <v>4144</v>
      </c>
      <c r="C4" s="4" t="s">
        <v>4145</v>
      </c>
      <c r="D4" s="4" t="s">
        <v>6443</v>
      </c>
      <c r="E4" s="4" t="s">
        <v>116</v>
      </c>
      <c r="F4" s="4" t="s">
        <v>267</v>
      </c>
      <c r="G4" s="4" t="s">
        <v>6946</v>
      </c>
      <c r="H4" s="4"/>
      <c r="I4" s="4"/>
      <c r="J4" s="133"/>
      <c r="K4" s="133"/>
      <c r="L4" s="133"/>
      <c r="M4" s="4"/>
      <c r="N4" s="4"/>
      <c r="O4" s="4"/>
      <c r="P4" s="4"/>
      <c r="Q4" s="133"/>
      <c r="R4" s="133"/>
      <c r="S4" s="133"/>
    </row>
    <row r="5" spans="1:19" x14ac:dyDescent="0.25">
      <c r="A5" s="132"/>
      <c r="B5" s="132"/>
      <c r="C5" s="132"/>
      <c r="D5" s="132"/>
      <c r="E5" s="159"/>
      <c r="F5" s="158"/>
      <c r="G5" s="160"/>
      <c r="H5" s="134"/>
      <c r="I5" s="12"/>
      <c r="J5" s="134"/>
      <c r="K5" s="134"/>
      <c r="L5" s="134"/>
      <c r="M5" s="134"/>
      <c r="N5" s="134"/>
      <c r="O5" s="134"/>
      <c r="P5" s="134"/>
      <c r="Q5" s="134"/>
      <c r="R5" s="134"/>
      <c r="S5" s="134"/>
    </row>
  </sheetData>
  <mergeCells count="1">
    <mergeCell ref="A1:J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07C305D-9FAB-4B11-A8B5-091D9076E3C7}">
          <x14:formula1>
            <xm:f>_xlfn.ANCHORARRAY(_xlfn.XLOOKUP($A5,DynamicDropDown!$MS$3:$NM$3,DynamicDropDown!$MS$4:$NM$4))</xm:f>
          </x14:formula1>
          <xm:sqref>D5</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5" activePane="bottomLeft" state="frozen"/>
      <selection pane="bottomLeft" activeCell="A2" sqref="A2"/>
    </sheetView>
  </sheetViews>
  <sheetFormatPr defaultRowHeight="15" x14ac:dyDescent="0.25"/>
  <cols>
    <col min="1" max="1" width="32.5703125" style="28" customWidth="1"/>
    <col min="2" max="2" width="5.5703125" style="28" customWidth="1"/>
    <col min="3" max="3" width="27" style="28" bestFit="1" customWidth="1"/>
    <col min="4" max="4" width="42.85546875" style="28" bestFit="1" customWidth="1"/>
    <col min="5" max="5" width="37.28515625" style="28" customWidth="1"/>
    <col min="6" max="6" width="31.28515625" style="28" bestFit="1" customWidth="1"/>
    <col min="7" max="7" width="20.7109375" style="28" bestFit="1" customWidth="1"/>
    <col min="8" max="8" width="70.7109375" style="28" bestFit="1" customWidth="1"/>
    <col min="9" max="9" width="70.7109375" style="28" customWidth="1"/>
    <col min="10" max="10" width="15.7109375" style="28" bestFit="1" customWidth="1"/>
    <col min="11" max="16384" width="9.140625" style="28"/>
  </cols>
  <sheetData>
    <row r="1" spans="1:10" ht="120" customHeight="1" x14ac:dyDescent="0.25">
      <c r="A1" s="165" t="s">
        <v>2597</v>
      </c>
      <c r="B1" s="165"/>
      <c r="C1" s="165"/>
      <c r="D1" s="165"/>
      <c r="E1" s="165"/>
      <c r="F1" s="165"/>
      <c r="G1" s="165"/>
      <c r="H1" s="165"/>
      <c r="I1" s="165"/>
      <c r="J1" s="165"/>
    </row>
    <row r="2" spans="1:10" x14ac:dyDescent="0.25">
      <c r="A2" s="36" t="s">
        <v>2512</v>
      </c>
      <c r="B2" s="36"/>
      <c r="C2" s="70"/>
      <c r="D2" s="70"/>
      <c r="E2" s="70"/>
      <c r="F2" s="70"/>
      <c r="G2" s="70"/>
      <c r="H2" s="70"/>
      <c r="I2" s="70"/>
      <c r="J2" s="70"/>
    </row>
    <row r="3" spans="1:10" x14ac:dyDescent="0.25">
      <c r="A3" s="70"/>
      <c r="B3" s="70"/>
      <c r="C3" s="70"/>
      <c r="D3" s="70"/>
      <c r="E3" s="70"/>
      <c r="F3" s="70"/>
      <c r="G3" s="70"/>
      <c r="H3" s="70"/>
      <c r="I3" s="70"/>
      <c r="J3" s="70"/>
    </row>
    <row r="4" spans="1:10" x14ac:dyDescent="0.25">
      <c r="A4" s="71" t="s">
        <v>37</v>
      </c>
      <c r="B4" s="71" t="s">
        <v>3235</v>
      </c>
      <c r="C4" s="71" t="s">
        <v>273</v>
      </c>
      <c r="D4" s="71" t="s">
        <v>1914</v>
      </c>
      <c r="E4" s="71" t="s">
        <v>1915</v>
      </c>
      <c r="F4" s="71" t="s">
        <v>1514</v>
      </c>
      <c r="G4" s="71" t="s">
        <v>274</v>
      </c>
      <c r="H4" s="71" t="s">
        <v>275</v>
      </c>
      <c r="I4" s="71" t="s">
        <v>2479</v>
      </c>
      <c r="J4" s="71" t="s">
        <v>276</v>
      </c>
    </row>
    <row r="5" spans="1:10" x14ac:dyDescent="0.25">
      <c r="A5" s="61" t="s">
        <v>2043</v>
      </c>
      <c r="B5" s="72">
        <v>-99</v>
      </c>
      <c r="C5" s="61" t="s">
        <v>93</v>
      </c>
      <c r="D5" s="61" t="s">
        <v>1927</v>
      </c>
      <c r="E5" s="73" t="s">
        <v>2187</v>
      </c>
      <c r="F5" s="74" t="s">
        <v>2139</v>
      </c>
      <c r="G5" s="61" t="s">
        <v>277</v>
      </c>
      <c r="H5" s="61" t="s">
        <v>278</v>
      </c>
      <c r="I5" s="75" t="s">
        <v>2320</v>
      </c>
      <c r="J5" s="61" t="s">
        <v>91</v>
      </c>
    </row>
    <row r="6" spans="1:10" x14ac:dyDescent="0.25">
      <c r="A6" s="61" t="s">
        <v>2043</v>
      </c>
      <c r="B6" s="68">
        <v>1</v>
      </c>
      <c r="C6" s="61" t="s">
        <v>126</v>
      </c>
      <c r="D6" s="61" t="s">
        <v>1954</v>
      </c>
      <c r="E6" s="61" t="s">
        <v>2184</v>
      </c>
      <c r="F6" s="61"/>
      <c r="G6" s="61" t="s">
        <v>338</v>
      </c>
      <c r="H6" s="63" t="s">
        <v>2125</v>
      </c>
      <c r="I6" s="76" t="s">
        <v>2470</v>
      </c>
      <c r="J6" s="61" t="s">
        <v>100</v>
      </c>
    </row>
    <row r="7" spans="1:10" x14ac:dyDescent="0.25">
      <c r="A7" s="61" t="s">
        <v>2043</v>
      </c>
      <c r="B7" s="68">
        <v>2</v>
      </c>
      <c r="C7" s="61" t="s">
        <v>2034</v>
      </c>
      <c r="D7" s="61" t="s">
        <v>2063</v>
      </c>
      <c r="E7" s="61" t="s">
        <v>2182</v>
      </c>
      <c r="F7" s="61"/>
      <c r="G7" s="61" t="s">
        <v>2115</v>
      </c>
      <c r="H7" s="61" t="s">
        <v>2116</v>
      </c>
      <c r="I7" s="75" t="s">
        <v>2471</v>
      </c>
      <c r="J7" s="61" t="s">
        <v>153</v>
      </c>
    </row>
    <row r="8" spans="1:10" x14ac:dyDescent="0.25">
      <c r="A8" s="61" t="s">
        <v>2043</v>
      </c>
      <c r="B8" s="68">
        <v>4</v>
      </c>
      <c r="C8" s="61" t="s">
        <v>2035</v>
      </c>
      <c r="D8" s="61" t="s">
        <v>2062</v>
      </c>
      <c r="E8" s="61" t="s">
        <v>2273</v>
      </c>
      <c r="F8" s="61"/>
      <c r="G8" s="61" t="s">
        <v>2121</v>
      </c>
      <c r="H8" s="61" t="s">
        <v>2119</v>
      </c>
      <c r="I8" s="75" t="s">
        <v>2473</v>
      </c>
      <c r="J8" s="61" t="s">
        <v>92</v>
      </c>
    </row>
    <row r="9" spans="1:10" x14ac:dyDescent="0.25">
      <c r="A9" s="61" t="s">
        <v>2043</v>
      </c>
      <c r="B9" s="68">
        <v>5</v>
      </c>
      <c r="C9" s="61" t="s">
        <v>2037</v>
      </c>
      <c r="D9" s="61" t="s">
        <v>1956</v>
      </c>
      <c r="E9" s="61" t="s">
        <v>2276</v>
      </c>
      <c r="F9" s="61"/>
      <c r="G9" s="61" t="s">
        <v>2122</v>
      </c>
      <c r="H9" s="61" t="s">
        <v>2120</v>
      </c>
      <c r="I9" s="75" t="s">
        <v>2474</v>
      </c>
      <c r="J9" s="61" t="s">
        <v>92</v>
      </c>
    </row>
    <row r="10" spans="1:10" x14ac:dyDescent="0.25">
      <c r="A10" s="61" t="s">
        <v>2043</v>
      </c>
      <c r="B10" s="68">
        <v>6</v>
      </c>
      <c r="C10" s="63" t="s">
        <v>2764</v>
      </c>
      <c r="D10" s="57" t="s">
        <v>1889</v>
      </c>
      <c r="E10" s="63"/>
      <c r="F10" s="63"/>
      <c r="G10" s="63" t="s">
        <v>3196</v>
      </c>
      <c r="H10" s="57" t="s">
        <v>2968</v>
      </c>
      <c r="I10" s="63"/>
      <c r="J10" s="57" t="s">
        <v>156</v>
      </c>
    </row>
    <row r="11" spans="1:10" x14ac:dyDescent="0.25">
      <c r="A11" s="61" t="s">
        <v>2043</v>
      </c>
      <c r="B11" s="68">
        <v>7</v>
      </c>
      <c r="C11" s="61" t="s">
        <v>2038</v>
      </c>
      <c r="D11" s="61" t="s">
        <v>2036</v>
      </c>
      <c r="E11" s="61" t="s">
        <v>2275</v>
      </c>
      <c r="F11" s="61"/>
      <c r="G11" s="61" t="s">
        <v>2124</v>
      </c>
      <c r="H11" s="61" t="s">
        <v>2123</v>
      </c>
      <c r="I11" s="75" t="s">
        <v>2475</v>
      </c>
      <c r="J11" s="61" t="s">
        <v>262</v>
      </c>
    </row>
    <row r="12" spans="1:10" x14ac:dyDescent="0.25">
      <c r="A12" s="61" t="s">
        <v>2043</v>
      </c>
      <c r="B12" s="68">
        <v>8</v>
      </c>
      <c r="C12" s="61" t="s">
        <v>2039</v>
      </c>
      <c r="D12" s="61" t="s">
        <v>2040</v>
      </c>
      <c r="E12" s="61" t="s">
        <v>2272</v>
      </c>
      <c r="F12" s="61"/>
      <c r="G12" s="61" t="s">
        <v>2118</v>
      </c>
      <c r="H12" s="61" t="s">
        <v>2117</v>
      </c>
      <c r="I12" s="75" t="s">
        <v>2472</v>
      </c>
      <c r="J12" s="61" t="s">
        <v>92</v>
      </c>
    </row>
    <row r="13" spans="1:10" x14ac:dyDescent="0.25">
      <c r="A13" s="61" t="s">
        <v>2044</v>
      </c>
      <c r="B13" s="72">
        <v>-99</v>
      </c>
      <c r="C13" s="61" t="s">
        <v>93</v>
      </c>
      <c r="D13" s="61" t="s">
        <v>1927</v>
      </c>
      <c r="E13" s="73" t="s">
        <v>2187</v>
      </c>
      <c r="F13" s="74" t="s">
        <v>2139</v>
      </c>
      <c r="G13" s="61" t="s">
        <v>277</v>
      </c>
      <c r="H13" s="61" t="s">
        <v>278</v>
      </c>
      <c r="I13" s="75" t="s">
        <v>2320</v>
      </c>
      <c r="J13" s="61" t="s">
        <v>91</v>
      </c>
    </row>
    <row r="14" spans="1:10" x14ac:dyDescent="0.25">
      <c r="A14" s="61" t="s">
        <v>2044</v>
      </c>
      <c r="B14" s="68">
        <v>1</v>
      </c>
      <c r="C14" s="61" t="s">
        <v>126</v>
      </c>
      <c r="D14" s="61" t="s">
        <v>1926</v>
      </c>
      <c r="E14" s="61" t="s">
        <v>2155</v>
      </c>
      <c r="F14" s="61"/>
      <c r="G14" s="61" t="s">
        <v>338</v>
      </c>
      <c r="H14" s="61" t="s">
        <v>339</v>
      </c>
      <c r="I14" s="75" t="s">
        <v>2344</v>
      </c>
      <c r="J14" s="61" t="s">
        <v>100</v>
      </c>
    </row>
    <row r="15" spans="1:10" x14ac:dyDescent="0.25">
      <c r="A15" s="61" t="s">
        <v>2044</v>
      </c>
      <c r="B15" s="68">
        <v>2</v>
      </c>
      <c r="C15" s="61" t="s">
        <v>2041</v>
      </c>
      <c r="D15" s="61" t="s">
        <v>275</v>
      </c>
      <c r="E15" s="61" t="s">
        <v>2183</v>
      </c>
      <c r="F15" s="61"/>
      <c r="G15" s="61" t="s">
        <v>2113</v>
      </c>
      <c r="H15" s="61" t="s">
        <v>2111</v>
      </c>
      <c r="I15" s="75" t="s">
        <v>2468</v>
      </c>
      <c r="J15" s="61" t="s">
        <v>91</v>
      </c>
    </row>
    <row r="16" spans="1:10" x14ac:dyDescent="0.25">
      <c r="A16" s="61" t="s">
        <v>2044</v>
      </c>
      <c r="B16" s="68">
        <v>3</v>
      </c>
      <c r="C16" s="61" t="s">
        <v>2042</v>
      </c>
      <c r="D16" s="61" t="s">
        <v>1899</v>
      </c>
      <c r="E16" s="61" t="s">
        <v>2181</v>
      </c>
      <c r="F16" s="61"/>
      <c r="G16" s="61" t="s">
        <v>2114</v>
      </c>
      <c r="H16" s="61" t="s">
        <v>2112</v>
      </c>
      <c r="I16" s="75" t="s">
        <v>2469</v>
      </c>
      <c r="J16" s="61" t="s">
        <v>91</v>
      </c>
    </row>
    <row r="17" spans="1:10" x14ac:dyDescent="0.25">
      <c r="A17" s="61" t="s">
        <v>52</v>
      </c>
      <c r="B17" s="72">
        <v>-99</v>
      </c>
      <c r="C17" s="61" t="s">
        <v>93</v>
      </c>
      <c r="D17" s="61" t="s">
        <v>1927</v>
      </c>
      <c r="E17" s="73" t="s">
        <v>2187</v>
      </c>
      <c r="F17" s="74" t="s">
        <v>2139</v>
      </c>
      <c r="G17" s="61" t="s">
        <v>277</v>
      </c>
      <c r="H17" s="61" t="s">
        <v>278</v>
      </c>
      <c r="I17" s="61" t="s">
        <v>2320</v>
      </c>
      <c r="J17" s="61" t="s">
        <v>91</v>
      </c>
    </row>
    <row r="18" spans="1:10" x14ac:dyDescent="0.25">
      <c r="A18" s="61" t="s">
        <v>52</v>
      </c>
      <c r="B18" s="72">
        <v>2</v>
      </c>
      <c r="C18" s="61" t="s">
        <v>114</v>
      </c>
      <c r="D18" s="62" t="s">
        <v>2510</v>
      </c>
      <c r="E18" s="61" t="s">
        <v>2509</v>
      </c>
      <c r="F18" s="77" t="s">
        <v>1529</v>
      </c>
      <c r="G18" s="61" t="s">
        <v>315</v>
      </c>
      <c r="H18" s="61" t="s">
        <v>2507</v>
      </c>
      <c r="I18" s="61" t="s">
        <v>2508</v>
      </c>
      <c r="J18" s="61" t="s">
        <v>91</v>
      </c>
    </row>
    <row r="19" spans="1:10" x14ac:dyDescent="0.25">
      <c r="A19" s="61" t="s">
        <v>52</v>
      </c>
      <c r="B19" s="61"/>
      <c r="C19" s="61" t="s">
        <v>112</v>
      </c>
      <c r="D19" s="61" t="s">
        <v>1932</v>
      </c>
      <c r="E19" s="61" t="s">
        <v>1932</v>
      </c>
      <c r="F19" s="77"/>
      <c r="G19" s="61" t="s">
        <v>311</v>
      </c>
      <c r="H19" s="61" t="s">
        <v>312</v>
      </c>
      <c r="I19" s="61" t="s">
        <v>2336</v>
      </c>
      <c r="J19" s="61" t="s">
        <v>91</v>
      </c>
    </row>
    <row r="20" spans="1:10" x14ac:dyDescent="0.25">
      <c r="A20" s="61" t="s">
        <v>52</v>
      </c>
      <c r="B20" s="61"/>
      <c r="C20" s="61" t="s">
        <v>110</v>
      </c>
      <c r="D20" s="61" t="s">
        <v>1926</v>
      </c>
      <c r="E20" s="61" t="s">
        <v>2155</v>
      </c>
      <c r="F20" s="77" t="s">
        <v>1526</v>
      </c>
      <c r="G20" s="61" t="s">
        <v>308</v>
      </c>
      <c r="H20" s="61" t="s">
        <v>292</v>
      </c>
      <c r="I20" s="61" t="s">
        <v>2331</v>
      </c>
      <c r="J20" s="61" t="s">
        <v>100</v>
      </c>
    </row>
    <row r="21" spans="1:10" x14ac:dyDescent="0.25">
      <c r="A21" s="62" t="s">
        <v>52</v>
      </c>
      <c r="B21" s="62"/>
      <c r="C21" s="62" t="s">
        <v>115</v>
      </c>
      <c r="D21" s="62" t="s">
        <v>1934</v>
      </c>
      <c r="E21" s="62" t="s">
        <v>1934</v>
      </c>
      <c r="F21" s="69" t="s">
        <v>1530</v>
      </c>
      <c r="G21" s="62" t="s">
        <v>316</v>
      </c>
      <c r="H21" s="62" t="s">
        <v>317</v>
      </c>
      <c r="I21" s="62" t="s">
        <v>2338</v>
      </c>
      <c r="J21" s="62" t="s">
        <v>91</v>
      </c>
    </row>
    <row r="22" spans="1:10" x14ac:dyDescent="0.25">
      <c r="A22" s="61" t="s">
        <v>52</v>
      </c>
      <c r="B22" s="61"/>
      <c r="C22" s="61" t="s">
        <v>111</v>
      </c>
      <c r="D22" s="61" t="s">
        <v>1931</v>
      </c>
      <c r="E22" s="61" t="s">
        <v>2164</v>
      </c>
      <c r="F22" s="77" t="s">
        <v>1527</v>
      </c>
      <c r="G22" s="61" t="s">
        <v>309</v>
      </c>
      <c r="H22" s="61" t="s">
        <v>310</v>
      </c>
      <c r="I22" s="61" t="s">
        <v>2335</v>
      </c>
      <c r="J22" s="61" t="s">
        <v>91</v>
      </c>
    </row>
    <row r="23" spans="1:10" x14ac:dyDescent="0.25">
      <c r="A23" s="61" t="s">
        <v>52</v>
      </c>
      <c r="B23" s="61"/>
      <c r="C23" s="61" t="s">
        <v>113</v>
      </c>
      <c r="D23" s="61" t="s">
        <v>1933</v>
      </c>
      <c r="E23" s="61" t="s">
        <v>2158</v>
      </c>
      <c r="F23" s="77" t="s">
        <v>1528</v>
      </c>
      <c r="G23" s="61" t="s">
        <v>313</v>
      </c>
      <c r="H23" s="61" t="s">
        <v>314</v>
      </c>
      <c r="I23" s="61" t="s">
        <v>2337</v>
      </c>
      <c r="J23" s="61" t="s">
        <v>91</v>
      </c>
    </row>
    <row r="24" spans="1:10" x14ac:dyDescent="0.25">
      <c r="A24" s="65" t="s">
        <v>2802</v>
      </c>
      <c r="B24" s="68">
        <v>1</v>
      </c>
      <c r="C24" s="66" t="s">
        <v>128</v>
      </c>
    </row>
    <row r="25" spans="1:10" x14ac:dyDescent="0.25">
      <c r="A25" s="57" t="s">
        <v>2802</v>
      </c>
      <c r="B25" s="68">
        <v>2</v>
      </c>
      <c r="C25" s="63" t="s">
        <v>2773</v>
      </c>
      <c r="D25" s="57"/>
      <c r="E25" s="63"/>
      <c r="F25" s="63"/>
      <c r="G25" s="63" t="s">
        <v>3205</v>
      </c>
      <c r="H25" s="57" t="s">
        <v>2977</v>
      </c>
      <c r="I25" s="63"/>
      <c r="J25" s="57" t="s">
        <v>153</v>
      </c>
    </row>
    <row r="26" spans="1:10" x14ac:dyDescent="0.25">
      <c r="A26" s="57" t="s">
        <v>2802</v>
      </c>
      <c r="B26" s="68">
        <v>2</v>
      </c>
      <c r="C26" s="63" t="s">
        <v>2771</v>
      </c>
      <c r="D26" s="57"/>
      <c r="E26" s="63"/>
      <c r="F26" s="63"/>
      <c r="G26" s="63" t="s">
        <v>3203</v>
      </c>
      <c r="H26" s="57" t="s">
        <v>2975</v>
      </c>
      <c r="I26" s="63"/>
      <c r="J26" s="57" t="s">
        <v>91</v>
      </c>
    </row>
    <row r="27" spans="1:10" x14ac:dyDescent="0.25">
      <c r="A27" s="57" t="s">
        <v>2802</v>
      </c>
      <c r="B27" s="68">
        <v>2</v>
      </c>
      <c r="C27" s="63" t="s">
        <v>2774</v>
      </c>
      <c r="D27" s="57"/>
      <c r="E27" s="63"/>
      <c r="F27" s="63"/>
      <c r="G27" s="63" t="s">
        <v>3206</v>
      </c>
      <c r="H27" s="57" t="s">
        <v>2978</v>
      </c>
      <c r="I27" s="63"/>
      <c r="J27" s="57" t="s">
        <v>3004</v>
      </c>
    </row>
    <row r="28" spans="1:10" x14ac:dyDescent="0.25">
      <c r="A28" s="57" t="s">
        <v>2802</v>
      </c>
      <c r="B28" s="68">
        <v>3</v>
      </c>
      <c r="C28" s="63" t="s">
        <v>2772</v>
      </c>
      <c r="D28" s="57"/>
      <c r="E28" s="63"/>
      <c r="F28" s="63"/>
      <c r="G28" s="63" t="s">
        <v>3204</v>
      </c>
      <c r="H28" s="57" t="s">
        <v>2976</v>
      </c>
      <c r="I28" s="63"/>
      <c r="J28" s="57" t="s">
        <v>91</v>
      </c>
    </row>
    <row r="29" spans="1:10" x14ac:dyDescent="0.25">
      <c r="A29" s="57" t="s">
        <v>2802</v>
      </c>
      <c r="B29" s="68">
        <v>3</v>
      </c>
      <c r="C29" s="63" t="s">
        <v>2775</v>
      </c>
      <c r="D29" s="57"/>
      <c r="E29" s="63"/>
      <c r="F29" s="63"/>
      <c r="G29" s="63" t="s">
        <v>3207</v>
      </c>
      <c r="H29" s="57" t="s">
        <v>2977</v>
      </c>
      <c r="I29" s="63"/>
      <c r="J29" s="57" t="s">
        <v>3009</v>
      </c>
    </row>
    <row r="30" spans="1:10" x14ac:dyDescent="0.25">
      <c r="A30" s="57" t="s">
        <v>2802</v>
      </c>
      <c r="B30" s="68">
        <v>4</v>
      </c>
      <c r="C30" s="63" t="s">
        <v>2776</v>
      </c>
      <c r="D30" s="57"/>
      <c r="E30" s="63"/>
      <c r="F30" s="63"/>
      <c r="G30" s="63" t="s">
        <v>3208</v>
      </c>
      <c r="H30" s="57" t="s">
        <v>2979</v>
      </c>
      <c r="I30" s="63"/>
      <c r="J30" s="57" t="s">
        <v>92</v>
      </c>
    </row>
    <row r="31" spans="1:10" x14ac:dyDescent="0.25">
      <c r="A31" s="57" t="s">
        <v>2802</v>
      </c>
      <c r="B31" s="68">
        <v>5</v>
      </c>
      <c r="C31" s="63" t="s">
        <v>2777</v>
      </c>
      <c r="D31" s="57"/>
      <c r="E31" s="63"/>
      <c r="F31" s="63"/>
      <c r="G31" s="63" t="s">
        <v>3209</v>
      </c>
      <c r="H31" s="57" t="s">
        <v>2980</v>
      </c>
      <c r="I31" s="63"/>
      <c r="J31" s="57" t="s">
        <v>3022</v>
      </c>
    </row>
    <row r="32" spans="1:10" x14ac:dyDescent="0.25">
      <c r="A32" s="57" t="s">
        <v>2802</v>
      </c>
      <c r="B32" s="68">
        <v>6</v>
      </c>
      <c r="C32" s="63" t="s">
        <v>2778</v>
      </c>
      <c r="D32" s="57"/>
      <c r="E32" s="63"/>
      <c r="F32" s="63"/>
      <c r="G32" s="63" t="s">
        <v>3210</v>
      </c>
      <c r="H32" s="57" t="s">
        <v>2981</v>
      </c>
      <c r="I32" s="63"/>
      <c r="J32" s="57" t="s">
        <v>92</v>
      </c>
    </row>
    <row r="33" spans="1:10" x14ac:dyDescent="0.25">
      <c r="A33" s="57" t="s">
        <v>2802</v>
      </c>
      <c r="B33" s="68">
        <v>7</v>
      </c>
      <c r="C33" s="63" t="s">
        <v>2779</v>
      </c>
      <c r="D33" s="57"/>
      <c r="E33" s="63"/>
      <c r="F33" s="63"/>
      <c r="G33" s="63" t="s">
        <v>3211</v>
      </c>
      <c r="H33" s="57" t="s">
        <v>2982</v>
      </c>
      <c r="I33" s="63"/>
      <c r="J33" s="57" t="s">
        <v>249</v>
      </c>
    </row>
    <row r="34" spans="1:10" x14ac:dyDescent="0.25">
      <c r="A34" s="57" t="s">
        <v>2802</v>
      </c>
      <c r="B34" s="68">
        <v>8</v>
      </c>
      <c r="C34" s="63" t="s">
        <v>2780</v>
      </c>
      <c r="D34" s="57"/>
      <c r="E34" s="63"/>
      <c r="F34" s="63"/>
      <c r="G34" s="63" t="s">
        <v>3212</v>
      </c>
      <c r="H34" s="57" t="s">
        <v>2983</v>
      </c>
      <c r="I34" s="63"/>
      <c r="J34" s="57" t="s">
        <v>92</v>
      </c>
    </row>
    <row r="35" spans="1:10" x14ac:dyDescent="0.25">
      <c r="A35" s="57" t="s">
        <v>2802</v>
      </c>
      <c r="B35" s="68">
        <v>9</v>
      </c>
      <c r="C35" s="63" t="s">
        <v>2781</v>
      </c>
      <c r="D35" s="57"/>
      <c r="E35" s="63"/>
      <c r="F35" s="63"/>
      <c r="G35" s="63" t="s">
        <v>3213</v>
      </c>
      <c r="H35" s="57" t="s">
        <v>2984</v>
      </c>
      <c r="I35" s="63"/>
      <c r="J35" s="57" t="s">
        <v>235</v>
      </c>
    </row>
    <row r="36" spans="1:10" x14ac:dyDescent="0.25">
      <c r="A36" s="57" t="s">
        <v>2802</v>
      </c>
      <c r="B36" s="68">
        <v>10</v>
      </c>
      <c r="C36" s="63" t="s">
        <v>2782</v>
      </c>
      <c r="D36" s="57"/>
      <c r="E36" s="63"/>
      <c r="F36" s="63"/>
      <c r="G36" s="63" t="s">
        <v>3214</v>
      </c>
      <c r="H36" s="57" t="s">
        <v>2985</v>
      </c>
      <c r="I36" s="63"/>
      <c r="J36" s="57" t="s">
        <v>92</v>
      </c>
    </row>
    <row r="37" spans="1:10" x14ac:dyDescent="0.25">
      <c r="A37" s="57" t="s">
        <v>2802</v>
      </c>
      <c r="B37" s="68">
        <v>11</v>
      </c>
      <c r="C37" s="63" t="s">
        <v>2783</v>
      </c>
      <c r="D37" s="57"/>
      <c r="E37" s="63"/>
      <c r="F37" s="63"/>
      <c r="G37" s="63" t="s">
        <v>3215</v>
      </c>
      <c r="H37" s="57" t="s">
        <v>2986</v>
      </c>
      <c r="I37" s="63"/>
      <c r="J37" s="57" t="s">
        <v>235</v>
      </c>
    </row>
    <row r="38" spans="1:10" x14ac:dyDescent="0.25">
      <c r="A38" s="57" t="s">
        <v>2802</v>
      </c>
      <c r="B38" s="68">
        <v>12</v>
      </c>
      <c r="C38" s="63" t="s">
        <v>2784</v>
      </c>
      <c r="D38" s="57"/>
      <c r="E38" s="63"/>
      <c r="F38" s="63"/>
      <c r="G38" s="63" t="s">
        <v>3216</v>
      </c>
      <c r="H38" s="57" t="s">
        <v>2987</v>
      </c>
      <c r="I38" s="63"/>
      <c r="J38" s="57" t="s">
        <v>92</v>
      </c>
    </row>
    <row r="39" spans="1:10" x14ac:dyDescent="0.25">
      <c r="A39" s="57" t="s">
        <v>2802</v>
      </c>
      <c r="B39" s="68">
        <v>13</v>
      </c>
      <c r="C39" s="63" t="s">
        <v>2785</v>
      </c>
      <c r="D39" s="57"/>
      <c r="E39" s="63"/>
      <c r="F39" s="63"/>
      <c r="G39" s="63" t="s">
        <v>3217</v>
      </c>
      <c r="H39" s="57" t="s">
        <v>2988</v>
      </c>
      <c r="I39" s="63"/>
      <c r="J39" s="57" t="s">
        <v>165</v>
      </c>
    </row>
    <row r="40" spans="1:10" x14ac:dyDescent="0.25">
      <c r="A40" s="57" t="s">
        <v>2802</v>
      </c>
      <c r="B40" s="68">
        <v>14</v>
      </c>
      <c r="C40" s="63" t="s">
        <v>2786</v>
      </c>
      <c r="D40" s="57"/>
      <c r="E40" s="63"/>
      <c r="F40" s="63"/>
      <c r="G40" s="63" t="s">
        <v>3218</v>
      </c>
      <c r="H40" s="57" t="s">
        <v>2989</v>
      </c>
      <c r="I40" s="63"/>
      <c r="J40" s="57" t="s">
        <v>92</v>
      </c>
    </row>
    <row r="41" spans="1:10" x14ac:dyDescent="0.25">
      <c r="A41" s="57" t="s">
        <v>2802</v>
      </c>
      <c r="B41" s="68">
        <v>15</v>
      </c>
      <c r="C41" s="63" t="s">
        <v>2787</v>
      </c>
      <c r="D41" s="57"/>
      <c r="E41" s="63"/>
      <c r="F41" s="63"/>
      <c r="G41" s="63" t="s">
        <v>3219</v>
      </c>
      <c r="H41" s="57" t="s">
        <v>2990</v>
      </c>
      <c r="I41" s="63"/>
      <c r="J41" s="57" t="s">
        <v>3011</v>
      </c>
    </row>
    <row r="42" spans="1:10" x14ac:dyDescent="0.25">
      <c r="A42" s="57" t="s">
        <v>2802</v>
      </c>
      <c r="B42" s="68">
        <v>16</v>
      </c>
      <c r="C42" s="63" t="s">
        <v>2788</v>
      </c>
      <c r="D42" s="57"/>
      <c r="E42" s="63"/>
      <c r="F42" s="63"/>
      <c r="G42" s="63" t="s">
        <v>3220</v>
      </c>
      <c r="H42" s="57" t="s">
        <v>2991</v>
      </c>
      <c r="I42" s="63"/>
      <c r="J42" s="57" t="s">
        <v>92</v>
      </c>
    </row>
    <row r="43" spans="1:10" x14ac:dyDescent="0.25">
      <c r="A43" s="57" t="s">
        <v>2802</v>
      </c>
      <c r="B43" s="68">
        <v>17</v>
      </c>
      <c r="C43" s="63" t="s">
        <v>2789</v>
      </c>
      <c r="D43" s="57"/>
      <c r="E43" s="63"/>
      <c r="F43" s="63"/>
      <c r="G43" s="63" t="s">
        <v>3221</v>
      </c>
      <c r="H43" s="57" t="s">
        <v>2992</v>
      </c>
      <c r="I43" s="63"/>
      <c r="J43" s="57" t="s">
        <v>235</v>
      </c>
    </row>
    <row r="44" spans="1:10" x14ac:dyDescent="0.25">
      <c r="A44" s="57" t="s">
        <v>2802</v>
      </c>
      <c r="B44" s="68">
        <v>18</v>
      </c>
      <c r="C44" s="63" t="s">
        <v>2790</v>
      </c>
      <c r="D44" s="57"/>
      <c r="E44" s="63"/>
      <c r="F44" s="63"/>
      <c r="G44" s="63" t="s">
        <v>3222</v>
      </c>
      <c r="H44" s="57" t="s">
        <v>2993</v>
      </c>
      <c r="I44" s="63"/>
      <c r="J44" s="57" t="s">
        <v>92</v>
      </c>
    </row>
    <row r="45" spans="1:10" x14ac:dyDescent="0.25">
      <c r="A45" s="57" t="s">
        <v>2802</v>
      </c>
      <c r="B45" s="68">
        <v>19</v>
      </c>
      <c r="C45" s="63" t="s">
        <v>2791</v>
      </c>
      <c r="D45" s="57"/>
      <c r="E45" s="63"/>
      <c r="F45" s="63"/>
      <c r="G45" s="63" t="s">
        <v>3223</v>
      </c>
      <c r="H45" s="57" t="s">
        <v>2994</v>
      </c>
      <c r="I45" s="63"/>
      <c r="J45" s="57" t="s">
        <v>250</v>
      </c>
    </row>
    <row r="46" spans="1:10" x14ac:dyDescent="0.25">
      <c r="A46" s="57" t="s">
        <v>2800</v>
      </c>
      <c r="B46" s="68">
        <v>0</v>
      </c>
      <c r="C46" s="63" t="s">
        <v>2694</v>
      </c>
      <c r="D46" s="57"/>
      <c r="E46" s="63"/>
      <c r="F46" s="63"/>
      <c r="G46" s="63" t="s">
        <v>3120</v>
      </c>
      <c r="H46" s="57" t="s">
        <v>2898</v>
      </c>
      <c r="I46" s="63"/>
      <c r="J46" s="59" t="s">
        <v>92</v>
      </c>
    </row>
    <row r="47" spans="1:10" x14ac:dyDescent="0.25">
      <c r="A47" s="57" t="s">
        <v>2800</v>
      </c>
      <c r="B47" s="68">
        <v>1</v>
      </c>
      <c r="C47" s="63" t="s">
        <v>2696</v>
      </c>
      <c r="D47" s="57"/>
      <c r="E47" s="63"/>
      <c r="F47" s="63"/>
      <c r="G47" s="63" t="s">
        <v>3122</v>
      </c>
      <c r="H47" s="57" t="s">
        <v>2900</v>
      </c>
      <c r="I47" s="63"/>
      <c r="J47" s="59" t="s">
        <v>91</v>
      </c>
    </row>
    <row r="48" spans="1:10" x14ac:dyDescent="0.25">
      <c r="A48" s="57" t="s">
        <v>2800</v>
      </c>
      <c r="B48" s="68">
        <v>2</v>
      </c>
      <c r="C48" s="63" t="s">
        <v>2695</v>
      </c>
      <c r="D48" s="57"/>
      <c r="E48" s="63"/>
      <c r="F48" s="63"/>
      <c r="G48" s="63" t="s">
        <v>3121</v>
      </c>
      <c r="H48" s="57" t="s">
        <v>2899</v>
      </c>
      <c r="I48" s="63"/>
      <c r="J48" s="58" t="s">
        <v>153</v>
      </c>
    </row>
    <row r="49" spans="1:10" x14ac:dyDescent="0.25">
      <c r="A49" s="61" t="s">
        <v>43</v>
      </c>
      <c r="B49" s="72">
        <v>-99</v>
      </c>
      <c r="C49" s="61" t="s">
        <v>93</v>
      </c>
      <c r="D49" s="61" t="s">
        <v>1891</v>
      </c>
      <c r="E49" s="73" t="s">
        <v>2138</v>
      </c>
      <c r="F49" s="74" t="s">
        <v>2139</v>
      </c>
      <c r="G49" s="61" t="s">
        <v>277</v>
      </c>
      <c r="H49" s="61" t="s">
        <v>278</v>
      </c>
      <c r="I49" s="61" t="s">
        <v>2320</v>
      </c>
      <c r="J49" s="61" t="s">
        <v>91</v>
      </c>
    </row>
    <row r="50" spans="1:10" x14ac:dyDescent="0.25">
      <c r="A50" s="61" t="s">
        <v>43</v>
      </c>
      <c r="B50" s="61"/>
      <c r="C50" s="61" t="s">
        <v>95</v>
      </c>
      <c r="D50" s="61" t="s">
        <v>1917</v>
      </c>
      <c r="E50" s="61" t="s">
        <v>2146</v>
      </c>
      <c r="F50" s="77" t="s">
        <v>2145</v>
      </c>
      <c r="G50" s="61" t="s">
        <v>281</v>
      </c>
      <c r="H50" s="61" t="s">
        <v>282</v>
      </c>
      <c r="I50" s="61" t="s">
        <v>2476</v>
      </c>
      <c r="J50" s="61" t="s">
        <v>91</v>
      </c>
    </row>
    <row r="51" spans="1:10" x14ac:dyDescent="0.25">
      <c r="A51" s="61" t="s">
        <v>43</v>
      </c>
      <c r="B51" s="61"/>
      <c r="C51" s="61" t="s">
        <v>96</v>
      </c>
      <c r="D51" s="61" t="s">
        <v>1918</v>
      </c>
      <c r="E51" s="61" t="s">
        <v>2142</v>
      </c>
      <c r="F51" s="77" t="s">
        <v>2140</v>
      </c>
      <c r="G51" s="61" t="s">
        <v>283</v>
      </c>
      <c r="H51" s="61" t="s">
        <v>284</v>
      </c>
      <c r="I51" s="61" t="s">
        <v>2477</v>
      </c>
      <c r="J51" s="61" t="s">
        <v>91</v>
      </c>
    </row>
    <row r="52" spans="1:10" x14ac:dyDescent="0.25">
      <c r="A52" s="61" t="s">
        <v>43</v>
      </c>
      <c r="B52" s="61"/>
      <c r="C52" s="61" t="s">
        <v>97</v>
      </c>
      <c r="D52" s="61" t="s">
        <v>1919</v>
      </c>
      <c r="E52" s="61" t="s">
        <v>2143</v>
      </c>
      <c r="F52" s="74" t="s">
        <v>2143</v>
      </c>
      <c r="G52" s="61" t="s">
        <v>285</v>
      </c>
      <c r="H52" s="61" t="s">
        <v>286</v>
      </c>
      <c r="I52" s="61" t="s">
        <v>2321</v>
      </c>
      <c r="J52" s="61" t="s">
        <v>92</v>
      </c>
    </row>
    <row r="53" spans="1:10" x14ac:dyDescent="0.25">
      <c r="A53" s="61" t="s">
        <v>43</v>
      </c>
      <c r="B53" s="61"/>
      <c r="C53" s="61" t="s">
        <v>99</v>
      </c>
      <c r="D53" s="61" t="s">
        <v>290</v>
      </c>
      <c r="E53" s="73" t="s">
        <v>2137</v>
      </c>
      <c r="F53" s="74" t="s">
        <v>2137</v>
      </c>
      <c r="G53" s="61" t="s">
        <v>289</v>
      </c>
      <c r="H53" s="61" t="s">
        <v>290</v>
      </c>
      <c r="I53" s="61" t="s">
        <v>2137</v>
      </c>
      <c r="J53" s="61" t="s">
        <v>91</v>
      </c>
    </row>
    <row r="54" spans="1:10" x14ac:dyDescent="0.25">
      <c r="A54" s="61" t="s">
        <v>43</v>
      </c>
      <c r="B54" s="61"/>
      <c r="C54" s="61" t="s">
        <v>98</v>
      </c>
      <c r="D54" s="61" t="s">
        <v>1920</v>
      </c>
      <c r="E54" s="62" t="s">
        <v>2297</v>
      </c>
      <c r="F54" s="77" t="s">
        <v>1516</v>
      </c>
      <c r="G54" s="61" t="s">
        <v>287</v>
      </c>
      <c r="H54" s="61" t="s">
        <v>288</v>
      </c>
      <c r="I54" s="61" t="s">
        <v>2322</v>
      </c>
      <c r="J54" s="61" t="s">
        <v>92</v>
      </c>
    </row>
    <row r="55" spans="1:10" x14ac:dyDescent="0.25">
      <c r="A55" s="61" t="s">
        <v>43</v>
      </c>
      <c r="B55" s="61"/>
      <c r="C55" s="61" t="s">
        <v>94</v>
      </c>
      <c r="D55" s="61" t="s">
        <v>1916</v>
      </c>
      <c r="E55" s="61" t="s">
        <v>2141</v>
      </c>
      <c r="F55" s="77" t="s">
        <v>2144</v>
      </c>
      <c r="G55" s="61" t="s">
        <v>279</v>
      </c>
      <c r="H55" s="61" t="s">
        <v>280</v>
      </c>
      <c r="I55" s="61" t="s">
        <v>2141</v>
      </c>
      <c r="J55" s="61" t="s">
        <v>91</v>
      </c>
    </row>
    <row r="56" spans="1:10" x14ac:dyDescent="0.25">
      <c r="A56" s="61" t="s">
        <v>64</v>
      </c>
      <c r="B56" s="72">
        <v>-99</v>
      </c>
      <c r="C56" s="61" t="s">
        <v>93</v>
      </c>
      <c r="D56" s="61" t="s">
        <v>1891</v>
      </c>
      <c r="E56" s="73" t="s">
        <v>2138</v>
      </c>
      <c r="F56" s="74" t="s">
        <v>2139</v>
      </c>
      <c r="G56" s="61" t="s">
        <v>277</v>
      </c>
      <c r="H56" s="61" t="s">
        <v>278</v>
      </c>
      <c r="I56" s="61" t="s">
        <v>2320</v>
      </c>
      <c r="J56" s="61" t="s">
        <v>91</v>
      </c>
    </row>
    <row r="57" spans="1:10" x14ac:dyDescent="0.25">
      <c r="A57" s="61" t="s">
        <v>64</v>
      </c>
      <c r="B57" s="68">
        <v>1</v>
      </c>
      <c r="C57" s="61" t="s">
        <v>124</v>
      </c>
      <c r="D57" s="61" t="s">
        <v>1954</v>
      </c>
      <c r="E57" s="61" t="s">
        <v>2184</v>
      </c>
      <c r="F57" s="77" t="s">
        <v>1580</v>
      </c>
      <c r="G57" s="61" t="s">
        <v>334</v>
      </c>
      <c r="H57" s="61" t="s">
        <v>335</v>
      </c>
      <c r="I57" s="75" t="s">
        <v>2342</v>
      </c>
      <c r="J57" s="61" t="s">
        <v>100</v>
      </c>
    </row>
    <row r="58" spans="1:10" x14ac:dyDescent="0.25">
      <c r="A58" s="61" t="s">
        <v>64</v>
      </c>
      <c r="B58" s="68">
        <v>2</v>
      </c>
      <c r="C58" s="61" t="s">
        <v>185</v>
      </c>
      <c r="D58" s="61" t="s">
        <v>2063</v>
      </c>
      <c r="E58" s="61" t="s">
        <v>2182</v>
      </c>
      <c r="F58" s="77" t="s">
        <v>1538</v>
      </c>
      <c r="G58" s="61" t="s">
        <v>432</v>
      </c>
      <c r="H58" s="61" t="s">
        <v>433</v>
      </c>
      <c r="I58" s="75" t="s">
        <v>2385</v>
      </c>
      <c r="J58" s="61" t="s">
        <v>153</v>
      </c>
    </row>
    <row r="59" spans="1:10" x14ac:dyDescent="0.25">
      <c r="A59" s="61" t="s">
        <v>64</v>
      </c>
      <c r="B59" s="68">
        <v>4</v>
      </c>
      <c r="C59" s="61" t="s">
        <v>186</v>
      </c>
      <c r="D59" s="61" t="s">
        <v>2017</v>
      </c>
      <c r="E59" s="61" t="s">
        <v>2216</v>
      </c>
      <c r="F59" s="77" t="s">
        <v>1581</v>
      </c>
      <c r="G59" s="61" t="s">
        <v>434</v>
      </c>
      <c r="H59" s="61" t="s">
        <v>435</v>
      </c>
      <c r="I59" s="75" t="s">
        <v>2386</v>
      </c>
      <c r="J59" s="61" t="s">
        <v>92</v>
      </c>
    </row>
    <row r="60" spans="1:10" x14ac:dyDescent="0.25">
      <c r="A60" s="61" t="s">
        <v>64</v>
      </c>
      <c r="B60" s="68">
        <v>5</v>
      </c>
      <c r="C60" s="61" t="s">
        <v>187</v>
      </c>
      <c r="D60" s="61" t="s">
        <v>1956</v>
      </c>
      <c r="E60" s="61" t="s">
        <v>2217</v>
      </c>
      <c r="F60" s="77" t="s">
        <v>1582</v>
      </c>
      <c r="G60" s="61" t="s">
        <v>436</v>
      </c>
      <c r="H60" s="61" t="s">
        <v>437</v>
      </c>
      <c r="I60" s="75" t="s">
        <v>2387</v>
      </c>
      <c r="J60" s="61" t="s">
        <v>92</v>
      </c>
    </row>
    <row r="61" spans="1:10" x14ac:dyDescent="0.25">
      <c r="A61" s="61" t="s">
        <v>64</v>
      </c>
      <c r="B61" s="68">
        <v>6</v>
      </c>
      <c r="C61" s="61" t="s">
        <v>188</v>
      </c>
      <c r="D61" s="61" t="s">
        <v>1889</v>
      </c>
      <c r="E61" s="61" t="s">
        <v>2218</v>
      </c>
      <c r="F61" s="77" t="s">
        <v>1583</v>
      </c>
      <c r="G61" s="61" t="s">
        <v>438</v>
      </c>
      <c r="H61" s="61" t="s">
        <v>439</v>
      </c>
      <c r="I61" s="75" t="s">
        <v>2388</v>
      </c>
      <c r="J61" s="61" t="s">
        <v>156</v>
      </c>
    </row>
    <row r="62" spans="1:10" x14ac:dyDescent="0.25">
      <c r="A62" s="61" t="s">
        <v>64</v>
      </c>
      <c r="B62" s="68">
        <v>6</v>
      </c>
      <c r="C62" s="63" t="s">
        <v>2737</v>
      </c>
      <c r="D62" s="57"/>
      <c r="E62" s="63"/>
      <c r="F62" s="63"/>
      <c r="G62" s="63" t="s">
        <v>3166</v>
      </c>
      <c r="H62" s="57" t="s">
        <v>2942</v>
      </c>
      <c r="I62" s="63"/>
      <c r="J62" s="57" t="s">
        <v>3012</v>
      </c>
    </row>
    <row r="63" spans="1:10" x14ac:dyDescent="0.25">
      <c r="A63" s="61" t="s">
        <v>64</v>
      </c>
      <c r="B63" s="68">
        <v>7</v>
      </c>
      <c r="C63" s="61" t="s">
        <v>189</v>
      </c>
      <c r="D63" s="61" t="s">
        <v>1890</v>
      </c>
      <c r="E63" s="61" t="s">
        <v>2219</v>
      </c>
      <c r="F63" s="77" t="s">
        <v>1584</v>
      </c>
      <c r="G63" s="61" t="s">
        <v>440</v>
      </c>
      <c r="H63" s="61" t="s">
        <v>441</v>
      </c>
      <c r="I63" s="75" t="s">
        <v>2389</v>
      </c>
      <c r="J63" s="61" t="s">
        <v>158</v>
      </c>
    </row>
    <row r="64" spans="1:10" x14ac:dyDescent="0.25">
      <c r="A64" s="61" t="s">
        <v>64</v>
      </c>
      <c r="B64" s="68">
        <v>8</v>
      </c>
      <c r="C64" s="63" t="s">
        <v>2738</v>
      </c>
      <c r="D64" s="57" t="s">
        <v>3262</v>
      </c>
      <c r="E64" s="63"/>
      <c r="F64" s="63"/>
      <c r="G64" s="63" t="s">
        <v>3167</v>
      </c>
      <c r="H64" s="57" t="s">
        <v>2943</v>
      </c>
      <c r="I64" s="63"/>
      <c r="J64" s="57" t="s">
        <v>158</v>
      </c>
    </row>
    <row r="65" spans="1:10" x14ac:dyDescent="0.25">
      <c r="A65" s="61" t="s">
        <v>64</v>
      </c>
      <c r="B65" s="68">
        <v>9</v>
      </c>
      <c r="C65" s="63" t="s">
        <v>2739</v>
      </c>
      <c r="D65" s="57" t="s">
        <v>3264</v>
      </c>
      <c r="E65" s="63"/>
      <c r="F65" s="63"/>
      <c r="G65" s="63" t="s">
        <v>3168</v>
      </c>
      <c r="H65" s="57" t="s">
        <v>2944</v>
      </c>
      <c r="I65" s="63"/>
      <c r="J65" s="57" t="s">
        <v>158</v>
      </c>
    </row>
    <row r="66" spans="1:10" x14ac:dyDescent="0.25">
      <c r="A66" s="61" t="s">
        <v>64</v>
      </c>
      <c r="B66" s="68">
        <v>9</v>
      </c>
      <c r="C66" s="63" t="s">
        <v>2740</v>
      </c>
      <c r="D66" s="57" t="s">
        <v>3263</v>
      </c>
      <c r="E66" s="63"/>
      <c r="F66" s="63"/>
      <c r="G66" s="63" t="s">
        <v>3169</v>
      </c>
      <c r="H66" s="57" t="s">
        <v>2945</v>
      </c>
      <c r="I66" s="63"/>
      <c r="J66" s="57" t="s">
        <v>158</v>
      </c>
    </row>
    <row r="67" spans="1:10" x14ac:dyDescent="0.25">
      <c r="A67" s="61" t="s">
        <v>64</v>
      </c>
      <c r="B67" s="68">
        <v>10</v>
      </c>
      <c r="C67" s="61" t="s">
        <v>190</v>
      </c>
      <c r="D67" s="61" t="s">
        <v>3265</v>
      </c>
      <c r="E67" s="61" t="s">
        <v>2220</v>
      </c>
      <c r="F67" s="77" t="s">
        <v>1585</v>
      </c>
      <c r="G67" s="61" t="s">
        <v>442</v>
      </c>
      <c r="H67" s="61" t="s">
        <v>443</v>
      </c>
      <c r="I67" s="75" t="s">
        <v>2390</v>
      </c>
      <c r="J67" s="61" t="s">
        <v>183</v>
      </c>
    </row>
    <row r="68" spans="1:10" x14ac:dyDescent="0.25">
      <c r="A68" s="61" t="s">
        <v>64</v>
      </c>
      <c r="B68" s="68">
        <v>11</v>
      </c>
      <c r="C68" s="61" t="s">
        <v>191</v>
      </c>
      <c r="D68" s="61" t="s">
        <v>3266</v>
      </c>
      <c r="E68" s="61" t="s">
        <v>2221</v>
      </c>
      <c r="F68" s="77" t="s">
        <v>1586</v>
      </c>
      <c r="G68" s="61" t="s">
        <v>444</v>
      </c>
      <c r="H68" s="61" t="s">
        <v>445</v>
      </c>
      <c r="I68" s="75" t="s">
        <v>2391</v>
      </c>
      <c r="J68" s="61" t="s">
        <v>184</v>
      </c>
    </row>
    <row r="69" spans="1:10" x14ac:dyDescent="0.25">
      <c r="A69" s="61" t="s">
        <v>64</v>
      </c>
      <c r="B69" s="68">
        <v>12</v>
      </c>
      <c r="C69" s="63" t="s">
        <v>2744</v>
      </c>
      <c r="D69" s="61" t="s">
        <v>3267</v>
      </c>
      <c r="G69" s="63" t="s">
        <v>3173</v>
      </c>
      <c r="H69" s="57" t="s">
        <v>2949</v>
      </c>
      <c r="I69" s="63"/>
      <c r="J69" s="57" t="s">
        <v>3016</v>
      </c>
    </row>
    <row r="70" spans="1:10" x14ac:dyDescent="0.25">
      <c r="A70" s="61" t="s">
        <v>64</v>
      </c>
      <c r="B70" s="68">
        <v>12</v>
      </c>
      <c r="C70" s="63" t="s">
        <v>2742</v>
      </c>
      <c r="D70" s="61" t="s">
        <v>3268</v>
      </c>
      <c r="E70" s="63"/>
      <c r="F70" s="63"/>
      <c r="G70" s="63" t="s">
        <v>3171</v>
      </c>
      <c r="H70" s="57" t="s">
        <v>2947</v>
      </c>
      <c r="I70" s="63"/>
      <c r="J70" s="57" t="s">
        <v>3014</v>
      </c>
    </row>
    <row r="71" spans="1:10" x14ac:dyDescent="0.25">
      <c r="A71" s="61" t="s">
        <v>64</v>
      </c>
      <c r="B71" s="78">
        <v>12</v>
      </c>
      <c r="C71" s="63" t="s">
        <v>2747</v>
      </c>
      <c r="D71" s="61" t="s">
        <v>3269</v>
      </c>
      <c r="E71" s="63"/>
      <c r="F71" s="63"/>
      <c r="G71" s="63" t="s">
        <v>3176</v>
      </c>
      <c r="H71" s="57" t="s">
        <v>2952</v>
      </c>
      <c r="I71" s="63"/>
      <c r="J71" s="58" t="s">
        <v>3019</v>
      </c>
    </row>
    <row r="72" spans="1:10" x14ac:dyDescent="0.25">
      <c r="A72" s="61" t="s">
        <v>64</v>
      </c>
      <c r="B72" s="68">
        <v>12</v>
      </c>
      <c r="C72" s="63" t="s">
        <v>2743</v>
      </c>
      <c r="D72" s="61" t="s">
        <v>3270</v>
      </c>
      <c r="E72" s="63"/>
      <c r="F72" s="63"/>
      <c r="G72" s="63" t="s">
        <v>3172</v>
      </c>
      <c r="H72" s="57" t="s">
        <v>2948</v>
      </c>
      <c r="I72" s="63"/>
      <c r="J72" s="57" t="s">
        <v>3015</v>
      </c>
    </row>
    <row r="73" spans="1:10" x14ac:dyDescent="0.25">
      <c r="A73" s="61" t="s">
        <v>64</v>
      </c>
      <c r="B73" s="68">
        <v>12</v>
      </c>
      <c r="C73" s="63" t="s">
        <v>2746</v>
      </c>
      <c r="D73" s="61" t="s">
        <v>3271</v>
      </c>
      <c r="E73" s="63"/>
      <c r="F73" s="63"/>
      <c r="G73" s="63" t="s">
        <v>3175</v>
      </c>
      <c r="H73" s="57" t="s">
        <v>2951</v>
      </c>
      <c r="I73" s="63"/>
      <c r="J73" s="58" t="s">
        <v>3018</v>
      </c>
    </row>
    <row r="74" spans="1:10" x14ac:dyDescent="0.25">
      <c r="A74" s="61" t="s">
        <v>64</v>
      </c>
      <c r="B74" s="68">
        <v>12</v>
      </c>
      <c r="C74" s="63" t="s">
        <v>2741</v>
      </c>
      <c r="D74" s="61" t="s">
        <v>3272</v>
      </c>
      <c r="E74" s="63"/>
      <c r="F74" s="63"/>
      <c r="G74" s="63" t="s">
        <v>3170</v>
      </c>
      <c r="H74" s="57" t="s">
        <v>2946</v>
      </c>
      <c r="I74" s="63"/>
      <c r="J74" s="57" t="s">
        <v>3013</v>
      </c>
    </row>
    <row r="75" spans="1:10" x14ac:dyDescent="0.25">
      <c r="A75" s="61" t="s">
        <v>64</v>
      </c>
      <c r="B75" s="68">
        <v>12</v>
      </c>
      <c r="C75" s="63" t="s">
        <v>2745</v>
      </c>
      <c r="D75" s="61" t="s">
        <v>3273</v>
      </c>
      <c r="E75" s="63"/>
      <c r="F75" s="63"/>
      <c r="G75" s="63" t="s">
        <v>3174</v>
      </c>
      <c r="H75" s="57" t="s">
        <v>2950</v>
      </c>
      <c r="I75" s="63"/>
      <c r="J75" s="57" t="s">
        <v>3017</v>
      </c>
    </row>
    <row r="76" spans="1:10" x14ac:dyDescent="0.25">
      <c r="A76" s="61" t="s">
        <v>64</v>
      </c>
      <c r="B76" s="68">
        <v>13</v>
      </c>
      <c r="C76" s="63" t="s">
        <v>2748</v>
      </c>
      <c r="D76" s="57"/>
      <c r="E76" s="63"/>
      <c r="F76" s="63"/>
      <c r="G76" s="63" t="s">
        <v>3177</v>
      </c>
      <c r="H76" s="57" t="s">
        <v>2953</v>
      </c>
      <c r="I76" s="63"/>
      <c r="J76" s="60" t="s">
        <v>3020</v>
      </c>
    </row>
    <row r="77" spans="1:10" x14ac:dyDescent="0.25">
      <c r="A77" s="61" t="s">
        <v>64</v>
      </c>
      <c r="B77" s="68">
        <v>14</v>
      </c>
      <c r="C77" s="63" t="s">
        <v>2733</v>
      </c>
      <c r="G77" s="63" t="s">
        <v>3178</v>
      </c>
      <c r="H77" s="57" t="s">
        <v>2938</v>
      </c>
      <c r="I77" s="63"/>
      <c r="J77" s="57" t="s">
        <v>92</v>
      </c>
    </row>
    <row r="78" spans="1:10" x14ac:dyDescent="0.25">
      <c r="A78" s="61" t="s">
        <v>64</v>
      </c>
      <c r="B78" s="68">
        <v>15</v>
      </c>
      <c r="C78" s="61" t="s">
        <v>192</v>
      </c>
      <c r="G78" s="61" t="s">
        <v>446</v>
      </c>
      <c r="H78" s="61" t="s">
        <v>447</v>
      </c>
      <c r="I78" s="75" t="s">
        <v>2392</v>
      </c>
      <c r="J78" s="61" t="s">
        <v>91</v>
      </c>
    </row>
    <row r="79" spans="1:10" x14ac:dyDescent="0.25">
      <c r="A79" s="61" t="s">
        <v>63</v>
      </c>
      <c r="B79" s="72">
        <v>-99</v>
      </c>
      <c r="C79" s="61" t="s">
        <v>93</v>
      </c>
      <c r="D79" s="61" t="s">
        <v>1927</v>
      </c>
      <c r="E79" s="73" t="s">
        <v>2187</v>
      </c>
      <c r="F79" s="74" t="s">
        <v>2139</v>
      </c>
      <c r="G79" s="61" t="s">
        <v>277</v>
      </c>
      <c r="H79" s="61" t="s">
        <v>278</v>
      </c>
      <c r="I79" s="61" t="s">
        <v>2320</v>
      </c>
      <c r="J79" s="61" t="s">
        <v>91</v>
      </c>
    </row>
    <row r="80" spans="1:10" x14ac:dyDescent="0.25">
      <c r="A80" s="61" t="s">
        <v>63</v>
      </c>
      <c r="B80" s="68">
        <v>1</v>
      </c>
      <c r="C80" s="61" t="s">
        <v>124</v>
      </c>
      <c r="D80" s="61" t="s">
        <v>1926</v>
      </c>
      <c r="E80" s="61" t="s">
        <v>2155</v>
      </c>
      <c r="F80" s="77" t="s">
        <v>1538</v>
      </c>
      <c r="G80" s="61" t="s">
        <v>334</v>
      </c>
      <c r="H80" s="61" t="s">
        <v>335</v>
      </c>
      <c r="I80" s="75" t="s">
        <v>2342</v>
      </c>
      <c r="J80" s="61" t="s">
        <v>100</v>
      </c>
    </row>
    <row r="81" spans="1:10" x14ac:dyDescent="0.25">
      <c r="A81" s="57" t="s">
        <v>63</v>
      </c>
      <c r="B81" s="68">
        <v>2</v>
      </c>
      <c r="C81" s="63" t="s">
        <v>2056</v>
      </c>
      <c r="D81" s="57" t="s">
        <v>3274</v>
      </c>
      <c r="E81" s="63"/>
      <c r="F81" s="63"/>
      <c r="G81" s="63" t="s">
        <v>3147</v>
      </c>
      <c r="H81" s="57" t="s">
        <v>2924</v>
      </c>
      <c r="I81" s="63"/>
      <c r="J81" s="57" t="s">
        <v>91</v>
      </c>
    </row>
    <row r="82" spans="1:10" x14ac:dyDescent="0.25">
      <c r="A82" s="61" t="s">
        <v>63</v>
      </c>
      <c r="B82" s="68">
        <v>3</v>
      </c>
      <c r="C82" s="61" t="s">
        <v>180</v>
      </c>
      <c r="D82" s="61" t="s">
        <v>275</v>
      </c>
      <c r="E82" s="61" t="s">
        <v>2183</v>
      </c>
      <c r="F82" s="77" t="s">
        <v>1577</v>
      </c>
      <c r="G82" s="61" t="s">
        <v>427</v>
      </c>
      <c r="H82" s="61" t="s">
        <v>428</v>
      </c>
      <c r="I82" s="75" t="s">
        <v>2382</v>
      </c>
      <c r="J82" s="61" t="s">
        <v>91</v>
      </c>
    </row>
    <row r="83" spans="1:10" x14ac:dyDescent="0.25">
      <c r="A83" s="61" t="s">
        <v>63</v>
      </c>
      <c r="B83" s="68">
        <v>4</v>
      </c>
      <c r="C83" s="61" t="s">
        <v>181</v>
      </c>
      <c r="D83" s="61" t="s">
        <v>1899</v>
      </c>
      <c r="E83" s="61" t="s">
        <v>2181</v>
      </c>
      <c r="F83" s="77" t="s">
        <v>1578</v>
      </c>
      <c r="G83" s="61" t="s">
        <v>429</v>
      </c>
      <c r="H83" s="61" t="s">
        <v>430</v>
      </c>
      <c r="I83" s="75" t="s">
        <v>2383</v>
      </c>
      <c r="J83" s="61" t="s">
        <v>92</v>
      </c>
    </row>
    <row r="84" spans="1:10" x14ac:dyDescent="0.25">
      <c r="A84" s="61" t="s">
        <v>63</v>
      </c>
      <c r="B84" s="68">
        <v>10</v>
      </c>
      <c r="C84" s="61" t="s">
        <v>182</v>
      </c>
      <c r="D84" s="62" t="s">
        <v>2057</v>
      </c>
      <c r="E84" s="61" t="s">
        <v>2213</v>
      </c>
      <c r="F84" s="77" t="s">
        <v>1579</v>
      </c>
      <c r="G84" s="63" t="s">
        <v>3162</v>
      </c>
      <c r="H84" s="61" t="s">
        <v>431</v>
      </c>
      <c r="I84" s="75" t="s">
        <v>2384</v>
      </c>
      <c r="J84" s="61" t="s">
        <v>100</v>
      </c>
    </row>
    <row r="85" spans="1:10" x14ac:dyDescent="0.25">
      <c r="A85" s="57" t="s">
        <v>63</v>
      </c>
      <c r="B85" s="68">
        <v>14</v>
      </c>
      <c r="C85" s="63" t="s">
        <v>2733</v>
      </c>
      <c r="D85" s="57"/>
      <c r="E85" s="63"/>
      <c r="F85" s="63"/>
      <c r="G85" s="63" t="s">
        <v>3161</v>
      </c>
      <c r="H85" s="57" t="s">
        <v>2938</v>
      </c>
      <c r="I85" s="63"/>
      <c r="J85" s="58" t="s">
        <v>92</v>
      </c>
    </row>
    <row r="86" spans="1:10" x14ac:dyDescent="0.25">
      <c r="A86" s="57" t="s">
        <v>63</v>
      </c>
      <c r="B86" s="68">
        <v>21</v>
      </c>
      <c r="C86" s="63" t="s">
        <v>2720</v>
      </c>
      <c r="D86" s="57" t="s">
        <v>3249</v>
      </c>
      <c r="E86" s="63"/>
      <c r="F86" s="63"/>
      <c r="G86" s="63" t="s">
        <v>3148</v>
      </c>
      <c r="H86" s="57" t="s">
        <v>2925</v>
      </c>
      <c r="I86" s="63"/>
      <c r="J86" s="58" t="s">
        <v>3012</v>
      </c>
    </row>
    <row r="87" spans="1:10" x14ac:dyDescent="0.25">
      <c r="A87" s="57" t="s">
        <v>63</v>
      </c>
      <c r="B87" s="68">
        <v>21</v>
      </c>
      <c r="C87" s="63" t="s">
        <v>2722</v>
      </c>
      <c r="D87" s="57" t="s">
        <v>3250</v>
      </c>
      <c r="E87" s="63"/>
      <c r="F87" s="63"/>
      <c r="G87" s="63" t="s">
        <v>3150</v>
      </c>
      <c r="H87" s="57" t="s">
        <v>2927</v>
      </c>
      <c r="I87" s="63"/>
      <c r="J87" s="58" t="s">
        <v>158</v>
      </c>
    </row>
    <row r="88" spans="1:10" x14ac:dyDescent="0.25">
      <c r="A88" s="57" t="s">
        <v>63</v>
      </c>
      <c r="B88" s="68">
        <v>22</v>
      </c>
      <c r="C88" s="63" t="s">
        <v>2734</v>
      </c>
      <c r="D88" s="57" t="s">
        <v>3251</v>
      </c>
      <c r="E88" s="63"/>
      <c r="F88" s="63"/>
      <c r="G88" s="63" t="s">
        <v>3163</v>
      </c>
      <c r="H88" s="57" t="s">
        <v>2939</v>
      </c>
      <c r="I88" s="63"/>
      <c r="J88" s="57" t="s">
        <v>100</v>
      </c>
    </row>
    <row r="89" spans="1:10" x14ac:dyDescent="0.25">
      <c r="A89" s="57" t="s">
        <v>63</v>
      </c>
      <c r="B89" s="68">
        <v>23</v>
      </c>
      <c r="C89" s="63" t="s">
        <v>2723</v>
      </c>
      <c r="D89" s="57" t="s">
        <v>3252</v>
      </c>
      <c r="E89" s="63"/>
      <c r="F89" s="63"/>
      <c r="G89" s="63" t="s">
        <v>3151</v>
      </c>
      <c r="H89" s="57" t="s">
        <v>2928</v>
      </c>
      <c r="I89" s="63"/>
      <c r="J89" s="58" t="s">
        <v>183</v>
      </c>
    </row>
    <row r="90" spans="1:10" x14ac:dyDescent="0.25">
      <c r="A90" s="57" t="s">
        <v>63</v>
      </c>
      <c r="B90" s="68">
        <v>24</v>
      </c>
      <c r="C90" s="63" t="s">
        <v>2735</v>
      </c>
      <c r="D90" s="57" t="s">
        <v>3253</v>
      </c>
      <c r="E90" s="63"/>
      <c r="F90" s="63"/>
      <c r="G90" s="63" t="s">
        <v>3164</v>
      </c>
      <c r="H90" s="57" t="s">
        <v>2940</v>
      </c>
      <c r="I90" s="63"/>
      <c r="J90" s="57" t="s">
        <v>100</v>
      </c>
    </row>
    <row r="91" spans="1:10" x14ac:dyDescent="0.25">
      <c r="A91" s="57" t="s">
        <v>63</v>
      </c>
      <c r="B91" s="68">
        <v>25</v>
      </c>
      <c r="C91" s="63" t="s">
        <v>2728</v>
      </c>
      <c r="D91" s="57" t="s">
        <v>3254</v>
      </c>
      <c r="E91" s="63"/>
      <c r="F91" s="63"/>
      <c r="G91" s="63" t="s">
        <v>3156</v>
      </c>
      <c r="H91" s="57" t="s">
        <v>2933</v>
      </c>
      <c r="I91" s="63"/>
      <c r="J91" s="58" t="s">
        <v>3016</v>
      </c>
    </row>
    <row r="92" spans="1:10" x14ac:dyDescent="0.25">
      <c r="A92" s="57" t="s">
        <v>63</v>
      </c>
      <c r="B92" s="68">
        <v>25</v>
      </c>
      <c r="C92" s="63" t="s">
        <v>2726</v>
      </c>
      <c r="D92" s="57" t="s">
        <v>3255</v>
      </c>
      <c r="E92" s="63"/>
      <c r="F92" s="63"/>
      <c r="G92" s="63" t="s">
        <v>3154</v>
      </c>
      <c r="H92" s="57" t="s">
        <v>2931</v>
      </c>
      <c r="I92" s="63"/>
      <c r="J92" s="58" t="s">
        <v>3014</v>
      </c>
    </row>
    <row r="93" spans="1:10" x14ac:dyDescent="0.25">
      <c r="A93" s="57" t="s">
        <v>63</v>
      </c>
      <c r="B93" s="68">
        <v>25</v>
      </c>
      <c r="C93" s="63" t="s">
        <v>2731</v>
      </c>
      <c r="D93" s="57" t="s">
        <v>3256</v>
      </c>
      <c r="E93" s="63"/>
      <c r="F93" s="63"/>
      <c r="G93" s="63" t="s">
        <v>3159</v>
      </c>
      <c r="H93" s="57" t="s">
        <v>2936</v>
      </c>
      <c r="I93" s="63"/>
      <c r="J93" s="58" t="s">
        <v>3019</v>
      </c>
    </row>
    <row r="94" spans="1:10" x14ac:dyDescent="0.25">
      <c r="A94" s="57" t="s">
        <v>63</v>
      </c>
      <c r="B94" s="68">
        <v>25</v>
      </c>
      <c r="C94" s="63" t="s">
        <v>2727</v>
      </c>
      <c r="D94" s="57" t="s">
        <v>3257</v>
      </c>
      <c r="E94" s="63"/>
      <c r="F94" s="63"/>
      <c r="G94" s="63" t="s">
        <v>3155</v>
      </c>
      <c r="H94" s="57" t="s">
        <v>2932</v>
      </c>
      <c r="I94" s="63"/>
      <c r="J94" s="58" t="s">
        <v>3015</v>
      </c>
    </row>
    <row r="95" spans="1:10" x14ac:dyDescent="0.25">
      <c r="A95" s="57" t="s">
        <v>63</v>
      </c>
      <c r="B95" s="68">
        <v>25</v>
      </c>
      <c r="C95" s="63" t="s">
        <v>2730</v>
      </c>
      <c r="D95" s="57" t="s">
        <v>3260</v>
      </c>
      <c r="E95" s="63"/>
      <c r="F95" s="63"/>
      <c r="G95" s="63" t="s">
        <v>3158</v>
      </c>
      <c r="H95" s="57" t="s">
        <v>2935</v>
      </c>
      <c r="I95" s="63"/>
      <c r="J95" s="58" t="s">
        <v>3018</v>
      </c>
    </row>
    <row r="96" spans="1:10" x14ac:dyDescent="0.25">
      <c r="A96" s="57" t="s">
        <v>63</v>
      </c>
      <c r="B96" s="68">
        <v>25</v>
      </c>
      <c r="C96" s="63" t="s">
        <v>2724</v>
      </c>
      <c r="D96" s="57" t="s">
        <v>3252</v>
      </c>
      <c r="E96" s="63"/>
      <c r="F96" s="63"/>
      <c r="G96" s="63" t="s">
        <v>3152</v>
      </c>
      <c r="H96" s="57" t="s">
        <v>2929</v>
      </c>
      <c r="I96" s="63"/>
      <c r="J96" s="58" t="s">
        <v>184</v>
      </c>
    </row>
    <row r="97" spans="1:10" x14ac:dyDescent="0.25">
      <c r="A97" s="57" t="s">
        <v>63</v>
      </c>
      <c r="B97" s="68">
        <v>25</v>
      </c>
      <c r="C97" s="63" t="s">
        <v>2725</v>
      </c>
      <c r="D97" s="57" t="s">
        <v>3258</v>
      </c>
      <c r="E97" s="63"/>
      <c r="F97" s="63"/>
      <c r="G97" s="63" t="s">
        <v>3153</v>
      </c>
      <c r="H97" s="57" t="s">
        <v>2930</v>
      </c>
      <c r="I97" s="63"/>
      <c r="J97" s="58" t="s">
        <v>3013</v>
      </c>
    </row>
    <row r="98" spans="1:10" x14ac:dyDescent="0.25">
      <c r="A98" s="57" t="s">
        <v>63</v>
      </c>
      <c r="B98" s="68">
        <v>25</v>
      </c>
      <c r="C98" s="63" t="s">
        <v>2729</v>
      </c>
      <c r="D98" s="57" t="s">
        <v>3259</v>
      </c>
      <c r="E98" s="63"/>
      <c r="F98" s="63"/>
      <c r="G98" s="63" t="s">
        <v>3157</v>
      </c>
      <c r="H98" s="57" t="s">
        <v>2934</v>
      </c>
      <c r="I98" s="63"/>
      <c r="J98" s="58" t="s">
        <v>3017</v>
      </c>
    </row>
    <row r="99" spans="1:10" x14ac:dyDescent="0.25">
      <c r="A99" s="57" t="s">
        <v>63</v>
      </c>
      <c r="B99" s="68">
        <v>26</v>
      </c>
      <c r="C99" s="63" t="s">
        <v>2736</v>
      </c>
      <c r="D99" s="57" t="s">
        <v>3261</v>
      </c>
      <c r="E99" s="63"/>
      <c r="F99" s="63"/>
      <c r="G99" s="63" t="s">
        <v>3165</v>
      </c>
      <c r="H99" s="57" t="s">
        <v>2941</v>
      </c>
      <c r="I99" s="63"/>
      <c r="J99" s="57" t="s">
        <v>100</v>
      </c>
    </row>
    <row r="100" spans="1:10" x14ac:dyDescent="0.25">
      <c r="A100" s="57" t="s">
        <v>63</v>
      </c>
      <c r="B100" s="68"/>
      <c r="C100" s="63" t="s">
        <v>2721</v>
      </c>
      <c r="D100" s="57"/>
      <c r="E100" s="63"/>
      <c r="F100" s="63"/>
      <c r="G100" s="63" t="s">
        <v>3149</v>
      </c>
      <c r="H100" s="57" t="s">
        <v>2926</v>
      </c>
      <c r="I100" s="63"/>
      <c r="J100" s="58" t="s">
        <v>92</v>
      </c>
    </row>
    <row r="101" spans="1:10" x14ac:dyDescent="0.25">
      <c r="A101" s="60" t="s">
        <v>63</v>
      </c>
      <c r="B101" s="60"/>
      <c r="C101" s="63" t="s">
        <v>2732</v>
      </c>
      <c r="D101" s="60"/>
      <c r="E101" s="63"/>
      <c r="F101" s="63"/>
      <c r="G101" s="63" t="s">
        <v>3160</v>
      </c>
      <c r="H101" s="60" t="s">
        <v>2937</v>
      </c>
      <c r="I101" s="63"/>
      <c r="J101" s="59" t="s">
        <v>3020</v>
      </c>
    </row>
    <row r="102" spans="1:10" x14ac:dyDescent="0.25">
      <c r="A102" s="61" t="s">
        <v>56</v>
      </c>
      <c r="B102" s="72">
        <v>-99</v>
      </c>
      <c r="C102" s="61" t="s">
        <v>93</v>
      </c>
      <c r="D102" s="63" t="s">
        <v>1927</v>
      </c>
      <c r="E102" s="73" t="s">
        <v>2187</v>
      </c>
      <c r="F102" s="74" t="s">
        <v>2139</v>
      </c>
      <c r="G102" s="61" t="s">
        <v>277</v>
      </c>
      <c r="H102" s="61" t="s">
        <v>278</v>
      </c>
      <c r="I102" s="61" t="s">
        <v>2320</v>
      </c>
      <c r="J102" s="61" t="s">
        <v>91</v>
      </c>
    </row>
    <row r="103" spans="1:10" x14ac:dyDescent="0.25">
      <c r="A103" s="57" t="s">
        <v>56</v>
      </c>
      <c r="B103" s="68">
        <v>0</v>
      </c>
      <c r="C103" s="63" t="s">
        <v>2616</v>
      </c>
      <c r="D103" s="57"/>
      <c r="E103" s="63"/>
      <c r="F103" s="63"/>
      <c r="G103" s="63" t="s">
        <v>3039</v>
      </c>
      <c r="H103" s="57" t="s">
        <v>2820</v>
      </c>
      <c r="I103" s="63"/>
      <c r="J103" s="57" t="s">
        <v>100</v>
      </c>
    </row>
    <row r="104" spans="1:10" x14ac:dyDescent="0.25">
      <c r="A104" s="61" t="s">
        <v>56</v>
      </c>
      <c r="B104" s="68">
        <v>1</v>
      </c>
      <c r="C104" s="61" t="s">
        <v>119</v>
      </c>
      <c r="D104" s="63" t="s">
        <v>1926</v>
      </c>
      <c r="E104" s="61" t="s">
        <v>2155</v>
      </c>
      <c r="F104" s="77" t="s">
        <v>1534</v>
      </c>
      <c r="G104" s="61" t="s">
        <v>324</v>
      </c>
      <c r="H104" s="61" t="s">
        <v>325</v>
      </c>
      <c r="I104" s="75" t="s">
        <v>2339</v>
      </c>
      <c r="J104" s="61" t="s">
        <v>100</v>
      </c>
    </row>
    <row r="105" spans="1:10" x14ac:dyDescent="0.25">
      <c r="A105" s="57" t="s">
        <v>56</v>
      </c>
      <c r="B105" s="68">
        <v>2</v>
      </c>
      <c r="C105" s="63" t="s">
        <v>2617</v>
      </c>
      <c r="D105" s="57"/>
      <c r="E105" s="63"/>
      <c r="F105" s="63"/>
      <c r="G105" s="63" t="s">
        <v>3040</v>
      </c>
      <c r="H105" s="57" t="s">
        <v>2821</v>
      </c>
      <c r="I105" s="63"/>
      <c r="J105" s="57" t="s">
        <v>91</v>
      </c>
    </row>
    <row r="106" spans="1:10" x14ac:dyDescent="0.25">
      <c r="A106" s="61" t="s">
        <v>56</v>
      </c>
      <c r="B106" s="68">
        <v>3</v>
      </c>
      <c r="C106" s="61" t="s">
        <v>141</v>
      </c>
      <c r="D106" s="63" t="s">
        <v>362</v>
      </c>
      <c r="E106" s="61" t="s">
        <v>2169</v>
      </c>
      <c r="F106" s="77" t="s">
        <v>1552</v>
      </c>
      <c r="G106" s="61" t="s">
        <v>361</v>
      </c>
      <c r="H106" s="61" t="s">
        <v>362</v>
      </c>
      <c r="I106" s="75" t="s">
        <v>2169</v>
      </c>
      <c r="J106" s="61" t="s">
        <v>91</v>
      </c>
    </row>
    <row r="107" spans="1:10" x14ac:dyDescent="0.25">
      <c r="A107" s="61" t="s">
        <v>56</v>
      </c>
      <c r="B107" s="68">
        <v>5</v>
      </c>
      <c r="C107" s="61" t="s">
        <v>142</v>
      </c>
      <c r="D107" s="63" t="s">
        <v>1936</v>
      </c>
      <c r="E107" s="61" t="s">
        <v>2171</v>
      </c>
      <c r="F107" s="77" t="s">
        <v>1553</v>
      </c>
      <c r="G107" s="61" t="s">
        <v>363</v>
      </c>
      <c r="H107" s="61" t="s">
        <v>364</v>
      </c>
      <c r="I107" s="75" t="s">
        <v>2349</v>
      </c>
      <c r="J107" s="61" t="s">
        <v>91</v>
      </c>
    </row>
    <row r="108" spans="1:10" x14ac:dyDescent="0.25">
      <c r="A108" s="57" t="s">
        <v>56</v>
      </c>
      <c r="B108" s="68">
        <v>6</v>
      </c>
      <c r="C108" s="63" t="s">
        <v>2618</v>
      </c>
      <c r="D108" s="57"/>
      <c r="E108" s="63"/>
      <c r="F108" s="63"/>
      <c r="G108" s="63" t="s">
        <v>3041</v>
      </c>
      <c r="H108" s="57" t="s">
        <v>2822</v>
      </c>
      <c r="I108" s="63"/>
      <c r="J108" s="57" t="s">
        <v>91</v>
      </c>
    </row>
    <row r="109" spans="1:10" x14ac:dyDescent="0.25">
      <c r="A109" s="61" t="s">
        <v>56</v>
      </c>
      <c r="B109" s="68">
        <v>7</v>
      </c>
      <c r="C109" s="61" t="s">
        <v>143</v>
      </c>
      <c r="D109" s="63" t="s">
        <v>1945</v>
      </c>
      <c r="E109" s="61" t="s">
        <v>2172</v>
      </c>
      <c r="F109" s="77" t="s">
        <v>1554</v>
      </c>
      <c r="G109" s="61" t="s">
        <v>365</v>
      </c>
      <c r="H109" s="61" t="s">
        <v>366</v>
      </c>
      <c r="I109" s="75" t="s">
        <v>2350</v>
      </c>
      <c r="J109" s="61" t="s">
        <v>91</v>
      </c>
    </row>
    <row r="110" spans="1:10" x14ac:dyDescent="0.25">
      <c r="A110" s="61" t="s">
        <v>56</v>
      </c>
      <c r="B110" s="68">
        <v>11</v>
      </c>
      <c r="C110" s="61" t="s">
        <v>144</v>
      </c>
      <c r="D110" s="63" t="s">
        <v>1939</v>
      </c>
      <c r="E110" s="61" t="s">
        <v>2173</v>
      </c>
      <c r="F110" s="77" t="s">
        <v>1555</v>
      </c>
      <c r="G110" s="61" t="s">
        <v>367</v>
      </c>
      <c r="H110" s="61" t="s">
        <v>368</v>
      </c>
      <c r="I110" s="75" t="s">
        <v>2351</v>
      </c>
      <c r="J110" s="61" t="s">
        <v>138</v>
      </c>
    </row>
    <row r="111" spans="1:10" x14ac:dyDescent="0.25">
      <c r="A111" s="57" t="s">
        <v>56</v>
      </c>
      <c r="B111" s="68">
        <v>12</v>
      </c>
      <c r="C111" s="63" t="s">
        <v>2621</v>
      </c>
      <c r="D111" s="57"/>
      <c r="E111" s="63"/>
      <c r="F111" s="63"/>
      <c r="G111" s="63" t="s">
        <v>3044</v>
      </c>
      <c r="H111" s="57" t="s">
        <v>2825</v>
      </c>
      <c r="I111" s="63"/>
      <c r="J111" s="57" t="s">
        <v>91</v>
      </c>
    </row>
    <row r="112" spans="1:10" x14ac:dyDescent="0.25">
      <c r="A112" s="57" t="s">
        <v>56</v>
      </c>
      <c r="B112" s="68">
        <v>12</v>
      </c>
      <c r="C112" s="63" t="s">
        <v>2620</v>
      </c>
      <c r="D112" s="57"/>
      <c r="E112" s="63"/>
      <c r="F112" s="63"/>
      <c r="G112" s="63" t="s">
        <v>3043</v>
      </c>
      <c r="H112" s="57" t="s">
        <v>2824</v>
      </c>
      <c r="I112" s="63"/>
      <c r="J112" s="57" t="s">
        <v>91</v>
      </c>
    </row>
    <row r="113" spans="1:10" x14ac:dyDescent="0.25">
      <c r="A113" s="61" t="s">
        <v>56</v>
      </c>
      <c r="B113" s="68">
        <v>12</v>
      </c>
      <c r="C113" s="61" t="s">
        <v>145</v>
      </c>
      <c r="D113" s="63" t="s">
        <v>1940</v>
      </c>
      <c r="E113" s="61" t="s">
        <v>2174</v>
      </c>
      <c r="F113" s="77" t="s">
        <v>1556</v>
      </c>
      <c r="G113" s="61" t="s">
        <v>369</v>
      </c>
      <c r="H113" s="61" t="s">
        <v>370</v>
      </c>
      <c r="I113" s="75" t="s">
        <v>2352</v>
      </c>
      <c r="J113" s="61" t="s">
        <v>138</v>
      </c>
    </row>
    <row r="114" spans="1:10" x14ac:dyDescent="0.25">
      <c r="A114" s="61" t="s">
        <v>56</v>
      </c>
      <c r="B114" s="68">
        <v>13</v>
      </c>
      <c r="C114" s="61" t="s">
        <v>146</v>
      </c>
      <c r="D114" s="63" t="s">
        <v>1941</v>
      </c>
      <c r="E114" s="61" t="s">
        <v>2175</v>
      </c>
      <c r="F114" s="77" t="s">
        <v>1557</v>
      </c>
      <c r="G114" s="61" t="s">
        <v>371</v>
      </c>
      <c r="H114" s="61" t="s">
        <v>372</v>
      </c>
      <c r="I114" s="75" t="s">
        <v>2353</v>
      </c>
      <c r="J114" s="61" t="s">
        <v>139</v>
      </c>
    </row>
    <row r="115" spans="1:10" x14ac:dyDescent="0.25">
      <c r="A115" s="57" t="s">
        <v>56</v>
      </c>
      <c r="B115" s="68">
        <v>14</v>
      </c>
      <c r="C115" s="63" t="s">
        <v>2622</v>
      </c>
      <c r="D115" s="57"/>
      <c r="E115" s="63"/>
      <c r="F115" s="63"/>
      <c r="G115" s="63" t="s">
        <v>3045</v>
      </c>
      <c r="H115" s="57" t="s">
        <v>2826</v>
      </c>
      <c r="I115" s="63"/>
      <c r="J115" s="57" t="s">
        <v>92</v>
      </c>
    </row>
    <row r="116" spans="1:10" x14ac:dyDescent="0.25">
      <c r="A116" s="61" t="s">
        <v>56</v>
      </c>
      <c r="B116" s="68">
        <v>15</v>
      </c>
      <c r="C116" s="61" t="s">
        <v>147</v>
      </c>
      <c r="D116" s="63" t="s">
        <v>1951</v>
      </c>
      <c r="E116" s="61" t="s">
        <v>2176</v>
      </c>
      <c r="F116" s="77" t="s">
        <v>1558</v>
      </c>
      <c r="G116" s="61" t="s">
        <v>373</v>
      </c>
      <c r="H116" s="61" t="s">
        <v>374</v>
      </c>
      <c r="I116" s="75" t="s">
        <v>2354</v>
      </c>
      <c r="J116" s="61" t="s">
        <v>140</v>
      </c>
    </row>
    <row r="117" spans="1:10" x14ac:dyDescent="0.25">
      <c r="A117" s="57" t="s">
        <v>56</v>
      </c>
      <c r="B117" s="68">
        <v>16</v>
      </c>
      <c r="C117" s="63" t="s">
        <v>2623</v>
      </c>
      <c r="D117" s="57" t="s">
        <v>3236</v>
      </c>
      <c r="E117" s="63"/>
      <c r="F117" s="63"/>
      <c r="G117" s="63" t="s">
        <v>3046</v>
      </c>
      <c r="H117" s="57" t="s">
        <v>2827</v>
      </c>
      <c r="I117" s="63"/>
      <c r="J117" s="57" t="s">
        <v>139</v>
      </c>
    </row>
    <row r="118" spans="1:10" x14ac:dyDescent="0.25">
      <c r="A118" s="57" t="s">
        <v>56</v>
      </c>
      <c r="B118" s="68">
        <v>17</v>
      </c>
      <c r="C118" s="63" t="s">
        <v>2624</v>
      </c>
      <c r="D118" s="69" t="s">
        <v>3239</v>
      </c>
      <c r="E118" s="63"/>
      <c r="F118" s="63"/>
      <c r="G118" s="63" t="s">
        <v>3047</v>
      </c>
      <c r="H118" s="57" t="s">
        <v>2828</v>
      </c>
      <c r="I118" s="63"/>
      <c r="J118" s="57" t="s">
        <v>91</v>
      </c>
    </row>
    <row r="119" spans="1:10" x14ac:dyDescent="0.25">
      <c r="A119" s="57" t="s">
        <v>56</v>
      </c>
      <c r="B119" s="68">
        <v>18</v>
      </c>
      <c r="C119" s="63" t="s">
        <v>2626</v>
      </c>
      <c r="D119" s="57" t="s">
        <v>3242</v>
      </c>
      <c r="E119" s="63"/>
      <c r="F119" s="63"/>
      <c r="G119" s="63" t="s">
        <v>3049</v>
      </c>
      <c r="H119" s="57" t="s">
        <v>2830</v>
      </c>
      <c r="I119" s="63"/>
      <c r="J119" s="57" t="s">
        <v>2300</v>
      </c>
    </row>
    <row r="120" spans="1:10" x14ac:dyDescent="0.25">
      <c r="A120" s="57" t="s">
        <v>56</v>
      </c>
      <c r="B120" s="68">
        <v>19</v>
      </c>
      <c r="C120" s="63" t="s">
        <v>2627</v>
      </c>
      <c r="D120" s="57" t="s">
        <v>3243</v>
      </c>
      <c r="E120" s="63"/>
      <c r="F120" s="63"/>
      <c r="G120" s="63" t="s">
        <v>3050</v>
      </c>
      <c r="H120" s="57" t="s">
        <v>2831</v>
      </c>
      <c r="I120" s="63"/>
      <c r="J120" s="57" t="s">
        <v>164</v>
      </c>
    </row>
    <row r="121" spans="1:10" x14ac:dyDescent="0.25">
      <c r="A121" s="57" t="s">
        <v>56</v>
      </c>
      <c r="B121" s="68">
        <v>20</v>
      </c>
      <c r="C121" s="63" t="s">
        <v>2628</v>
      </c>
      <c r="D121" s="57" t="s">
        <v>2832</v>
      </c>
      <c r="E121" s="63"/>
      <c r="F121" s="63"/>
      <c r="G121" s="63" t="s">
        <v>3051</v>
      </c>
      <c r="H121" s="57" t="s">
        <v>2832</v>
      </c>
      <c r="I121" s="63"/>
      <c r="J121" s="57" t="s">
        <v>100</v>
      </c>
    </row>
    <row r="122" spans="1:10" x14ac:dyDescent="0.25">
      <c r="A122" s="57" t="s">
        <v>56</v>
      </c>
      <c r="B122" s="68">
        <v>21</v>
      </c>
      <c r="C122" s="63" t="s">
        <v>2629</v>
      </c>
      <c r="D122" s="57" t="s">
        <v>3240</v>
      </c>
      <c r="E122" s="63"/>
      <c r="F122" s="63"/>
      <c r="G122" s="63" t="s">
        <v>3052</v>
      </c>
      <c r="H122" s="57" t="s">
        <v>2833</v>
      </c>
      <c r="I122" s="63"/>
      <c r="J122" s="57" t="s">
        <v>156</v>
      </c>
    </row>
    <row r="123" spans="1:10" x14ac:dyDescent="0.25">
      <c r="A123" s="57" t="s">
        <v>56</v>
      </c>
      <c r="B123" s="68">
        <v>22</v>
      </c>
      <c r="C123" s="63" t="s">
        <v>2630</v>
      </c>
      <c r="D123" s="57" t="s">
        <v>3244</v>
      </c>
      <c r="E123" s="63"/>
      <c r="F123" s="63"/>
      <c r="G123" s="63" t="s">
        <v>3053</v>
      </c>
      <c r="H123" s="57" t="s">
        <v>2834</v>
      </c>
      <c r="I123" s="63"/>
      <c r="J123" s="57" t="s">
        <v>100</v>
      </c>
    </row>
    <row r="124" spans="1:10" x14ac:dyDescent="0.25">
      <c r="A124" s="57" t="s">
        <v>56</v>
      </c>
      <c r="B124" s="68">
        <v>23</v>
      </c>
      <c r="C124" s="63" t="s">
        <v>2633</v>
      </c>
      <c r="D124" s="57" t="s">
        <v>3245</v>
      </c>
      <c r="E124" s="63"/>
      <c r="F124" s="63"/>
      <c r="G124" s="63" t="s">
        <v>3056</v>
      </c>
      <c r="H124" s="57" t="s">
        <v>2837</v>
      </c>
      <c r="I124" s="63"/>
      <c r="J124" s="57" t="s">
        <v>92</v>
      </c>
    </row>
    <row r="125" spans="1:10" x14ac:dyDescent="0.25">
      <c r="A125" s="57" t="s">
        <v>56</v>
      </c>
      <c r="B125" s="68">
        <v>24</v>
      </c>
      <c r="C125" s="63" t="s">
        <v>2634</v>
      </c>
      <c r="D125" s="57" t="s">
        <v>3246</v>
      </c>
      <c r="E125" s="63"/>
      <c r="F125" s="63"/>
      <c r="G125" s="63" t="s">
        <v>3057</v>
      </c>
      <c r="H125" s="57" t="s">
        <v>2838</v>
      </c>
      <c r="I125" s="63"/>
      <c r="J125" s="57" t="s">
        <v>156</v>
      </c>
    </row>
    <row r="126" spans="1:10" x14ac:dyDescent="0.25">
      <c r="A126" s="57" t="s">
        <v>56</v>
      </c>
      <c r="B126" s="68">
        <v>25</v>
      </c>
      <c r="C126" s="63" t="s">
        <v>2635</v>
      </c>
      <c r="D126" s="57" t="s">
        <v>3237</v>
      </c>
      <c r="E126" s="63"/>
      <c r="F126" s="63"/>
      <c r="G126" s="63" t="s">
        <v>3058</v>
      </c>
      <c r="H126" s="57" t="s">
        <v>2839</v>
      </c>
      <c r="I126" s="63"/>
      <c r="J126" s="57" t="s">
        <v>139</v>
      </c>
    </row>
    <row r="127" spans="1:10" x14ac:dyDescent="0.25">
      <c r="A127" s="57" t="s">
        <v>56</v>
      </c>
      <c r="B127" s="68">
        <v>26</v>
      </c>
      <c r="C127" s="63" t="s">
        <v>2636</v>
      </c>
      <c r="D127" s="57" t="s">
        <v>3238</v>
      </c>
      <c r="E127" s="63"/>
      <c r="F127" s="63"/>
      <c r="G127" s="63" t="s">
        <v>3059</v>
      </c>
      <c r="H127" s="57" t="s">
        <v>2840</v>
      </c>
      <c r="I127" s="63"/>
      <c r="J127" s="57" t="s">
        <v>156</v>
      </c>
    </row>
    <row r="128" spans="1:10" x14ac:dyDescent="0.25">
      <c r="A128" s="57" t="s">
        <v>56</v>
      </c>
      <c r="B128" s="68">
        <v>27</v>
      </c>
      <c r="C128" s="63" t="s">
        <v>2631</v>
      </c>
      <c r="D128" s="57" t="s">
        <v>3248</v>
      </c>
      <c r="E128" s="63"/>
      <c r="F128" s="63"/>
      <c r="G128" s="63" t="s">
        <v>3054</v>
      </c>
      <c r="H128" s="57" t="s">
        <v>2835</v>
      </c>
      <c r="I128" s="63"/>
      <c r="J128" s="57" t="s">
        <v>3004</v>
      </c>
    </row>
    <row r="129" spans="1:10" x14ac:dyDescent="0.25">
      <c r="A129" s="57" t="s">
        <v>56</v>
      </c>
      <c r="B129" s="68">
        <v>28</v>
      </c>
      <c r="C129" s="63" t="s">
        <v>2632</v>
      </c>
      <c r="D129" s="57"/>
      <c r="E129" s="63"/>
      <c r="F129" s="63"/>
      <c r="G129" s="63" t="s">
        <v>3055</v>
      </c>
      <c r="H129" s="57" t="s">
        <v>2836</v>
      </c>
      <c r="I129" s="63"/>
      <c r="J129" s="57" t="s">
        <v>92</v>
      </c>
    </row>
    <row r="130" spans="1:10" x14ac:dyDescent="0.25">
      <c r="A130" s="61" t="s">
        <v>56</v>
      </c>
      <c r="B130" s="68">
        <v>31</v>
      </c>
      <c r="C130" s="61" t="s">
        <v>148</v>
      </c>
      <c r="D130" s="63" t="s">
        <v>1921</v>
      </c>
      <c r="E130" s="61" t="s">
        <v>2186</v>
      </c>
      <c r="F130" s="77" t="s">
        <v>1559</v>
      </c>
      <c r="G130" s="61" t="s">
        <v>375</v>
      </c>
      <c r="H130" s="61" t="s">
        <v>376</v>
      </c>
      <c r="I130" s="75" t="s">
        <v>2355</v>
      </c>
      <c r="J130" s="61" t="s">
        <v>92</v>
      </c>
    </row>
    <row r="131" spans="1:10" x14ac:dyDescent="0.25">
      <c r="A131" s="57" t="s">
        <v>56</v>
      </c>
      <c r="B131" s="68">
        <v>32</v>
      </c>
      <c r="C131" s="63" t="s">
        <v>2637</v>
      </c>
      <c r="D131" s="57"/>
      <c r="E131" s="63"/>
      <c r="F131" s="63"/>
      <c r="G131" s="63" t="s">
        <v>3060</v>
      </c>
      <c r="H131" s="57" t="s">
        <v>2841</v>
      </c>
      <c r="I131" s="63"/>
      <c r="J131" s="57" t="s">
        <v>91</v>
      </c>
    </row>
    <row r="132" spans="1:10" x14ac:dyDescent="0.25">
      <c r="A132" s="61" t="s">
        <v>56</v>
      </c>
      <c r="B132" s="68">
        <v>33</v>
      </c>
      <c r="C132" s="61" t="s">
        <v>149</v>
      </c>
      <c r="D132" s="64" t="s">
        <v>2178</v>
      </c>
      <c r="E132" s="61" t="s">
        <v>2179</v>
      </c>
      <c r="F132" s="77" t="s">
        <v>1560</v>
      </c>
      <c r="G132" s="61" t="s">
        <v>377</v>
      </c>
      <c r="H132" s="61" t="s">
        <v>378</v>
      </c>
      <c r="I132" s="75" t="s">
        <v>2356</v>
      </c>
      <c r="J132" s="61" t="s">
        <v>139</v>
      </c>
    </row>
    <row r="133" spans="1:10" x14ac:dyDescent="0.25">
      <c r="A133" s="61" t="s">
        <v>56</v>
      </c>
      <c r="B133" s="68">
        <v>41</v>
      </c>
      <c r="C133" s="61" t="s">
        <v>150</v>
      </c>
      <c r="D133" s="63" t="s">
        <v>1952</v>
      </c>
      <c r="E133" s="61" t="s">
        <v>2185</v>
      </c>
      <c r="F133" s="77" t="s">
        <v>1561</v>
      </c>
      <c r="G133" s="61" t="s">
        <v>379</v>
      </c>
      <c r="H133" s="61" t="s">
        <v>380</v>
      </c>
      <c r="I133" s="75" t="s">
        <v>2357</v>
      </c>
      <c r="J133" s="61" t="s">
        <v>92</v>
      </c>
    </row>
    <row r="134" spans="1:10" x14ac:dyDescent="0.25">
      <c r="A134" s="57" t="s">
        <v>56</v>
      </c>
      <c r="B134" s="68">
        <v>42</v>
      </c>
      <c r="C134" s="63" t="s">
        <v>2638</v>
      </c>
      <c r="D134" s="57"/>
      <c r="E134" s="63"/>
      <c r="F134" s="63"/>
      <c r="G134" s="63" t="s">
        <v>3061</v>
      </c>
      <c r="H134" s="57" t="s">
        <v>2842</v>
      </c>
      <c r="I134" s="63"/>
      <c r="J134" s="57" t="s">
        <v>91</v>
      </c>
    </row>
    <row r="135" spans="1:10" x14ac:dyDescent="0.25">
      <c r="A135" s="57" t="s">
        <v>56</v>
      </c>
      <c r="B135" s="68">
        <v>45</v>
      </c>
      <c r="C135" s="63" t="s">
        <v>2639</v>
      </c>
      <c r="D135" s="57" t="s">
        <v>3241</v>
      </c>
      <c r="E135" s="63"/>
      <c r="F135" s="63"/>
      <c r="G135" s="63" t="s">
        <v>3062</v>
      </c>
      <c r="H135" s="57" t="s">
        <v>2843</v>
      </c>
      <c r="I135" s="63"/>
      <c r="J135" s="57" t="s">
        <v>156</v>
      </c>
    </row>
    <row r="136" spans="1:10" x14ac:dyDescent="0.25">
      <c r="A136" s="61" t="s">
        <v>56</v>
      </c>
      <c r="B136" s="68">
        <v>46</v>
      </c>
      <c r="C136" s="61" t="s">
        <v>151</v>
      </c>
      <c r="D136" s="63" t="s">
        <v>1953</v>
      </c>
      <c r="E136" s="61" t="s">
        <v>2203</v>
      </c>
      <c r="F136" s="77" t="s">
        <v>1562</v>
      </c>
      <c r="G136" s="61" t="s">
        <v>381</v>
      </c>
      <c r="H136" s="61" t="s">
        <v>382</v>
      </c>
      <c r="I136" s="75" t="s">
        <v>2358</v>
      </c>
      <c r="J136" s="61" t="s">
        <v>92</v>
      </c>
    </row>
    <row r="137" spans="1:10" x14ac:dyDescent="0.25">
      <c r="A137" s="61" t="s">
        <v>56</v>
      </c>
      <c r="B137" s="68">
        <v>51</v>
      </c>
      <c r="C137" s="61" t="s">
        <v>152</v>
      </c>
      <c r="D137" s="63" t="s">
        <v>1899</v>
      </c>
      <c r="E137" s="61" t="s">
        <v>2181</v>
      </c>
      <c r="F137" s="77" t="s">
        <v>1563</v>
      </c>
      <c r="G137" s="61" t="s">
        <v>383</v>
      </c>
      <c r="H137" s="61" t="s">
        <v>384</v>
      </c>
      <c r="I137" s="75" t="s">
        <v>2359</v>
      </c>
      <c r="J137" s="61" t="s">
        <v>91</v>
      </c>
    </row>
    <row r="138" spans="1:10" x14ac:dyDescent="0.25">
      <c r="A138" s="57" t="s">
        <v>56</v>
      </c>
      <c r="B138" s="68"/>
      <c r="C138" s="63" t="s">
        <v>2619</v>
      </c>
      <c r="D138" s="69" t="s">
        <v>3400</v>
      </c>
      <c r="E138" s="63"/>
      <c r="F138" s="63"/>
      <c r="G138" s="63" t="s">
        <v>3042</v>
      </c>
      <c r="H138" s="57" t="s">
        <v>2823</v>
      </c>
      <c r="I138" s="63"/>
      <c r="J138" s="57" t="s">
        <v>91</v>
      </c>
    </row>
    <row r="139" spans="1:10" x14ac:dyDescent="0.25">
      <c r="A139" s="57" t="s">
        <v>56</v>
      </c>
      <c r="B139" s="57"/>
      <c r="C139" s="63" t="s">
        <v>2640</v>
      </c>
      <c r="D139" s="57" t="s">
        <v>3247</v>
      </c>
      <c r="E139" s="63"/>
      <c r="F139" s="63"/>
      <c r="G139" s="63" t="s">
        <v>3063</v>
      </c>
      <c r="H139" s="57" t="s">
        <v>509</v>
      </c>
      <c r="I139" s="63"/>
      <c r="J139" s="57" t="s">
        <v>156</v>
      </c>
    </row>
    <row r="140" spans="1:10" x14ac:dyDescent="0.25">
      <c r="A140" s="57" t="s">
        <v>56</v>
      </c>
      <c r="B140" s="57"/>
      <c r="C140" s="63" t="s">
        <v>2625</v>
      </c>
      <c r="D140" s="57"/>
      <c r="E140" s="63"/>
      <c r="F140" s="63"/>
      <c r="G140" s="63" t="s">
        <v>3048</v>
      </c>
      <c r="H140" s="57" t="s">
        <v>2829</v>
      </c>
      <c r="I140" s="63"/>
      <c r="J140" s="57" t="s">
        <v>3003</v>
      </c>
    </row>
    <row r="141" spans="1:10" x14ac:dyDescent="0.25">
      <c r="A141" s="61" t="s">
        <v>55</v>
      </c>
      <c r="B141" s="72">
        <v>-99</v>
      </c>
      <c r="C141" s="61" t="s">
        <v>93</v>
      </c>
      <c r="D141" s="63" t="s">
        <v>1927</v>
      </c>
      <c r="E141" s="73" t="s">
        <v>2187</v>
      </c>
      <c r="F141" s="74" t="s">
        <v>2139</v>
      </c>
      <c r="G141" s="61" t="s">
        <v>277</v>
      </c>
      <c r="H141" s="61" t="s">
        <v>278</v>
      </c>
      <c r="I141" s="61" t="s">
        <v>2320</v>
      </c>
      <c r="J141" s="61" t="s">
        <v>91</v>
      </c>
    </row>
    <row r="142" spans="1:10" x14ac:dyDescent="0.25">
      <c r="A142" s="61" t="s">
        <v>55</v>
      </c>
      <c r="B142" s="68">
        <v>1</v>
      </c>
      <c r="C142" s="61" t="s">
        <v>132</v>
      </c>
      <c r="D142" s="63" t="s">
        <v>100</v>
      </c>
      <c r="E142" s="61" t="s">
        <v>2165</v>
      </c>
      <c r="F142" s="77" t="s">
        <v>1546</v>
      </c>
      <c r="G142" s="61" t="s">
        <v>322</v>
      </c>
      <c r="H142" s="61" t="s">
        <v>350</v>
      </c>
      <c r="I142" s="61" t="s">
        <v>2492</v>
      </c>
      <c r="J142" s="61" t="s">
        <v>100</v>
      </c>
    </row>
    <row r="143" spans="1:10" x14ac:dyDescent="0.25">
      <c r="A143" s="61" t="s">
        <v>55</v>
      </c>
      <c r="B143" s="68">
        <v>3</v>
      </c>
      <c r="C143" s="61" t="s">
        <v>133</v>
      </c>
      <c r="D143" s="63" t="s">
        <v>1948</v>
      </c>
      <c r="E143" s="62" t="s">
        <v>2202</v>
      </c>
      <c r="F143" s="77" t="s">
        <v>1547</v>
      </c>
      <c r="G143" s="61" t="s">
        <v>351</v>
      </c>
      <c r="H143" s="61" t="s">
        <v>352</v>
      </c>
      <c r="I143" s="61" t="s">
        <v>2347</v>
      </c>
      <c r="J143" s="61" t="s">
        <v>92</v>
      </c>
    </row>
    <row r="144" spans="1:10" x14ac:dyDescent="0.25">
      <c r="A144" s="61" t="s">
        <v>55</v>
      </c>
      <c r="B144" s="68">
        <v>4</v>
      </c>
      <c r="C144" s="61" t="s">
        <v>134</v>
      </c>
      <c r="D144" s="63" t="s">
        <v>1949</v>
      </c>
      <c r="E144" s="75" t="s">
        <v>2166</v>
      </c>
      <c r="F144" s="77" t="s">
        <v>1548</v>
      </c>
      <c r="G144" s="61" t="s">
        <v>353</v>
      </c>
      <c r="H144" s="61" t="s">
        <v>354</v>
      </c>
      <c r="I144" s="61" t="s">
        <v>2505</v>
      </c>
      <c r="J144" s="61" t="s">
        <v>92</v>
      </c>
    </row>
    <row r="145" spans="1:10" x14ac:dyDescent="0.25">
      <c r="A145" s="57" t="s">
        <v>55</v>
      </c>
      <c r="B145" s="68">
        <v>5</v>
      </c>
      <c r="C145" s="63" t="s">
        <v>2605</v>
      </c>
      <c r="D145" s="57" t="s">
        <v>3389</v>
      </c>
      <c r="E145" s="63"/>
      <c r="F145" s="63"/>
      <c r="G145" s="63" t="s">
        <v>3028</v>
      </c>
      <c r="H145" s="57" t="s">
        <v>2810</v>
      </c>
      <c r="I145" s="63"/>
      <c r="J145" s="57" t="s">
        <v>3002</v>
      </c>
    </row>
    <row r="146" spans="1:10" x14ac:dyDescent="0.25">
      <c r="A146" s="61" t="s">
        <v>55</v>
      </c>
      <c r="B146" s="68">
        <v>6</v>
      </c>
      <c r="C146" s="61" t="s">
        <v>135</v>
      </c>
      <c r="D146" s="63" t="s">
        <v>356</v>
      </c>
      <c r="E146" s="61" t="s">
        <v>2167</v>
      </c>
      <c r="F146" s="77" t="s">
        <v>1549</v>
      </c>
      <c r="G146" s="61" t="s">
        <v>355</v>
      </c>
      <c r="H146" s="61" t="s">
        <v>356</v>
      </c>
      <c r="I146" s="61" t="s">
        <v>2167</v>
      </c>
      <c r="J146" s="61" t="s">
        <v>91</v>
      </c>
    </row>
    <row r="147" spans="1:10" x14ac:dyDescent="0.25">
      <c r="A147" s="60" t="s">
        <v>55</v>
      </c>
      <c r="B147" s="68">
        <v>7</v>
      </c>
      <c r="C147" s="63" t="s">
        <v>2606</v>
      </c>
      <c r="D147" s="60" t="s">
        <v>3390</v>
      </c>
      <c r="E147" s="63"/>
      <c r="F147" s="63"/>
      <c r="G147" s="63" t="s">
        <v>3029</v>
      </c>
      <c r="H147" s="57" t="s">
        <v>2811</v>
      </c>
      <c r="I147" s="63"/>
      <c r="J147" s="57" t="s">
        <v>91</v>
      </c>
    </row>
    <row r="148" spans="1:10" x14ac:dyDescent="0.25">
      <c r="A148" s="79" t="s">
        <v>55</v>
      </c>
      <c r="B148" s="68">
        <v>8</v>
      </c>
      <c r="C148" s="63" t="s">
        <v>2607</v>
      </c>
      <c r="D148" s="80" t="s">
        <v>3391</v>
      </c>
      <c r="E148" s="63"/>
      <c r="F148" s="63"/>
      <c r="G148" s="63" t="s">
        <v>3030</v>
      </c>
      <c r="H148" s="57"/>
      <c r="I148" s="63"/>
      <c r="J148" s="57"/>
    </row>
    <row r="149" spans="1:10" x14ac:dyDescent="0.25">
      <c r="A149" s="79" t="s">
        <v>55</v>
      </c>
      <c r="B149" s="68">
        <v>9</v>
      </c>
      <c r="C149" s="63" t="s">
        <v>2608</v>
      </c>
      <c r="D149" s="79" t="s">
        <v>3392</v>
      </c>
      <c r="E149" s="63"/>
      <c r="F149" s="63"/>
      <c r="G149" s="63" t="s">
        <v>3031</v>
      </c>
      <c r="H149" s="57" t="s">
        <v>2812</v>
      </c>
      <c r="I149" s="63"/>
      <c r="J149" s="57" t="s">
        <v>91</v>
      </c>
    </row>
    <row r="150" spans="1:10" x14ac:dyDescent="0.25">
      <c r="A150" s="79" t="s">
        <v>55</v>
      </c>
      <c r="B150" s="68">
        <v>10</v>
      </c>
      <c r="C150" s="63" t="s">
        <v>2609</v>
      </c>
      <c r="D150" s="79" t="s">
        <v>3395</v>
      </c>
      <c r="E150" s="63"/>
      <c r="F150" s="63"/>
      <c r="G150" s="63" t="s">
        <v>3032</v>
      </c>
      <c r="H150" s="57" t="s">
        <v>2813</v>
      </c>
      <c r="I150" s="63"/>
      <c r="J150" s="57" t="s">
        <v>1877</v>
      </c>
    </row>
    <row r="151" spans="1:10" x14ac:dyDescent="0.25">
      <c r="A151" s="57" t="s">
        <v>55</v>
      </c>
      <c r="B151" s="68">
        <v>11</v>
      </c>
      <c r="C151" s="63" t="s">
        <v>2610</v>
      </c>
      <c r="D151" s="57" t="s">
        <v>3396</v>
      </c>
      <c r="E151" s="63"/>
      <c r="F151" s="63"/>
      <c r="G151" s="63" t="s">
        <v>3033</v>
      </c>
      <c r="H151" s="60" t="s">
        <v>2814</v>
      </c>
      <c r="I151" s="63"/>
      <c r="J151" s="57"/>
    </row>
    <row r="152" spans="1:10" x14ac:dyDescent="0.25">
      <c r="A152" s="57" t="s">
        <v>55</v>
      </c>
      <c r="B152" s="68">
        <v>12</v>
      </c>
      <c r="C152" s="63" t="s">
        <v>2611</v>
      </c>
      <c r="D152" s="57" t="s">
        <v>3393</v>
      </c>
      <c r="E152" s="63"/>
      <c r="F152" s="63"/>
      <c r="G152" s="63" t="s">
        <v>3034</v>
      </c>
      <c r="H152" s="79" t="s">
        <v>2815</v>
      </c>
      <c r="I152" s="63"/>
      <c r="J152" s="57" t="s">
        <v>100</v>
      </c>
    </row>
    <row r="153" spans="1:10" x14ac:dyDescent="0.25">
      <c r="A153" s="57" t="s">
        <v>55</v>
      </c>
      <c r="B153" s="68">
        <v>13</v>
      </c>
      <c r="C153" s="63" t="s">
        <v>2612</v>
      </c>
      <c r="D153" s="57" t="s">
        <v>3397</v>
      </c>
      <c r="E153" s="63"/>
      <c r="F153" s="63"/>
      <c r="G153" s="63" t="s">
        <v>3035</v>
      </c>
      <c r="H153" s="79" t="s">
        <v>2816</v>
      </c>
      <c r="I153" s="63"/>
      <c r="J153" s="57" t="s">
        <v>91</v>
      </c>
    </row>
    <row r="154" spans="1:10" x14ac:dyDescent="0.25">
      <c r="A154" s="57" t="s">
        <v>55</v>
      </c>
      <c r="B154" s="68">
        <v>14</v>
      </c>
      <c r="C154" s="63" t="s">
        <v>2613</v>
      </c>
      <c r="D154" s="57" t="s">
        <v>3394</v>
      </c>
      <c r="E154" s="63"/>
      <c r="F154" s="63"/>
      <c r="G154" s="63" t="s">
        <v>3036</v>
      </c>
      <c r="H154" s="79" t="s">
        <v>2817</v>
      </c>
      <c r="I154" s="63"/>
      <c r="J154" s="57" t="s">
        <v>91</v>
      </c>
    </row>
    <row r="155" spans="1:10" x14ac:dyDescent="0.25">
      <c r="A155" s="57" t="s">
        <v>55</v>
      </c>
      <c r="B155" s="68">
        <v>15</v>
      </c>
      <c r="C155" s="63" t="s">
        <v>2614</v>
      </c>
      <c r="D155" s="57" t="s">
        <v>3398</v>
      </c>
      <c r="E155" s="63"/>
      <c r="F155" s="63"/>
      <c r="G155" s="63" t="s">
        <v>3037</v>
      </c>
      <c r="H155" s="79" t="s">
        <v>2818</v>
      </c>
      <c r="I155" s="63"/>
      <c r="J155" s="57" t="s">
        <v>91</v>
      </c>
    </row>
    <row r="156" spans="1:10" x14ac:dyDescent="0.25">
      <c r="A156" s="57" t="s">
        <v>55</v>
      </c>
      <c r="B156" s="68">
        <v>16</v>
      </c>
      <c r="C156" s="63" t="s">
        <v>2615</v>
      </c>
      <c r="D156" s="57" t="s">
        <v>3399</v>
      </c>
      <c r="E156" s="63"/>
      <c r="F156" s="63"/>
      <c r="G156" s="63" t="s">
        <v>3038</v>
      </c>
      <c r="H156" s="79" t="s">
        <v>2819</v>
      </c>
      <c r="I156" s="63"/>
      <c r="J156" s="60" t="s">
        <v>91</v>
      </c>
    </row>
    <row r="157" spans="1:10" x14ac:dyDescent="0.25">
      <c r="A157" s="61" t="s">
        <v>55</v>
      </c>
      <c r="B157" s="68">
        <v>19</v>
      </c>
      <c r="C157" s="61" t="s">
        <v>136</v>
      </c>
      <c r="D157" s="63" t="s">
        <v>1899</v>
      </c>
      <c r="E157" s="61" t="s">
        <v>2181</v>
      </c>
      <c r="F157" s="77" t="s">
        <v>1550</v>
      </c>
      <c r="G157" s="61" t="s">
        <v>357</v>
      </c>
      <c r="H157" s="61" t="s">
        <v>358</v>
      </c>
      <c r="I157" s="61" t="s">
        <v>2506</v>
      </c>
      <c r="J157" s="61" t="s">
        <v>91</v>
      </c>
    </row>
    <row r="158" spans="1:10" x14ac:dyDescent="0.25">
      <c r="A158" s="62" t="s">
        <v>55</v>
      </c>
      <c r="B158" s="62"/>
      <c r="C158" s="62" t="s">
        <v>137</v>
      </c>
      <c r="D158" s="64" t="s">
        <v>1950</v>
      </c>
      <c r="E158" s="62" t="s">
        <v>2168</v>
      </c>
      <c r="F158" s="69" t="s">
        <v>1551</v>
      </c>
      <c r="G158" s="62" t="s">
        <v>359</v>
      </c>
      <c r="H158" s="62" t="s">
        <v>360</v>
      </c>
      <c r="I158" s="62" t="s">
        <v>2348</v>
      </c>
      <c r="J158" s="62" t="s">
        <v>92</v>
      </c>
    </row>
    <row r="159" spans="1:10" x14ac:dyDescent="0.25">
      <c r="A159" s="61" t="s">
        <v>66</v>
      </c>
      <c r="B159" s="72">
        <v>-99</v>
      </c>
      <c r="C159" s="61" t="s">
        <v>93</v>
      </c>
      <c r="D159" s="61" t="s">
        <v>1927</v>
      </c>
      <c r="E159" s="73" t="s">
        <v>2187</v>
      </c>
      <c r="F159" s="74" t="s">
        <v>2139</v>
      </c>
      <c r="G159" s="61" t="s">
        <v>277</v>
      </c>
      <c r="H159" s="61" t="s">
        <v>278</v>
      </c>
      <c r="I159" s="61" t="s">
        <v>2320</v>
      </c>
      <c r="J159" s="61" t="s">
        <v>91</v>
      </c>
    </row>
    <row r="160" spans="1:10" x14ac:dyDescent="0.25">
      <c r="A160" s="61" t="s">
        <v>66</v>
      </c>
      <c r="B160" s="68">
        <v>1</v>
      </c>
      <c r="C160" s="61" t="s">
        <v>129</v>
      </c>
      <c r="D160" s="61" t="s">
        <v>2063</v>
      </c>
      <c r="E160" s="61" t="s">
        <v>2182</v>
      </c>
      <c r="F160" s="77" t="s">
        <v>1543</v>
      </c>
      <c r="G160" s="61" t="s">
        <v>344</v>
      </c>
      <c r="H160" s="61" t="s">
        <v>456</v>
      </c>
      <c r="I160" s="75" t="s">
        <v>2396</v>
      </c>
      <c r="J160" s="61" t="s">
        <v>100</v>
      </c>
    </row>
    <row r="161" spans="1:10" x14ac:dyDescent="0.25">
      <c r="A161" s="61" t="s">
        <v>66</v>
      </c>
      <c r="B161" s="68">
        <v>2</v>
      </c>
      <c r="C161" s="61" t="s">
        <v>196</v>
      </c>
      <c r="D161" s="61" t="s">
        <v>1926</v>
      </c>
      <c r="E161" s="61" t="s">
        <v>2155</v>
      </c>
      <c r="F161" s="77" t="s">
        <v>1589</v>
      </c>
      <c r="G161" s="61" t="s">
        <v>454</v>
      </c>
      <c r="H161" s="61" t="s">
        <v>455</v>
      </c>
      <c r="I161" s="75" t="s">
        <v>2395</v>
      </c>
      <c r="J161" s="61" t="s">
        <v>153</v>
      </c>
    </row>
    <row r="162" spans="1:10" x14ac:dyDescent="0.25">
      <c r="A162" s="61" t="s">
        <v>66</v>
      </c>
      <c r="B162" s="68">
        <v>4</v>
      </c>
      <c r="C162" s="63" t="s">
        <v>2794</v>
      </c>
      <c r="D162" s="69" t="s">
        <v>3275</v>
      </c>
      <c r="E162" s="63"/>
      <c r="F162" s="63"/>
      <c r="G162" s="63" t="s">
        <v>3226</v>
      </c>
      <c r="H162" s="57" t="s">
        <v>2997</v>
      </c>
      <c r="I162" s="63"/>
      <c r="J162" s="57" t="s">
        <v>92</v>
      </c>
    </row>
    <row r="163" spans="1:10" x14ac:dyDescent="0.25">
      <c r="A163" s="61" t="s">
        <v>66</v>
      </c>
      <c r="B163" s="68">
        <v>5</v>
      </c>
      <c r="C163" s="63" t="s">
        <v>2793</v>
      </c>
      <c r="D163" s="69" t="s">
        <v>3276</v>
      </c>
      <c r="E163" s="63"/>
      <c r="F163" s="63"/>
      <c r="G163" s="63" t="s">
        <v>3225</v>
      </c>
      <c r="H163" s="57" t="s">
        <v>2996</v>
      </c>
      <c r="I163" s="63"/>
      <c r="J163" s="57" t="s">
        <v>92</v>
      </c>
    </row>
    <row r="164" spans="1:10" x14ac:dyDescent="0.25">
      <c r="A164" s="61" t="s">
        <v>66</v>
      </c>
      <c r="B164" s="68">
        <v>5</v>
      </c>
      <c r="C164" s="61" t="s">
        <v>197</v>
      </c>
      <c r="D164" s="61" t="s">
        <v>1957</v>
      </c>
      <c r="E164" s="61" t="s">
        <v>2222</v>
      </c>
      <c r="F164" s="77" t="s">
        <v>1590</v>
      </c>
      <c r="G164" s="61" t="s">
        <v>457</v>
      </c>
      <c r="H164" s="61" t="s">
        <v>458</v>
      </c>
      <c r="I164" s="75" t="s">
        <v>2397</v>
      </c>
      <c r="J164" s="61" t="s">
        <v>92</v>
      </c>
    </row>
    <row r="165" spans="1:10" x14ac:dyDescent="0.25">
      <c r="A165" s="61" t="s">
        <v>66</v>
      </c>
      <c r="B165" s="68">
        <v>5</v>
      </c>
      <c r="C165" s="61" t="s">
        <v>198</v>
      </c>
      <c r="D165" s="61" t="s">
        <v>1948</v>
      </c>
      <c r="E165" s="62" t="s">
        <v>2202</v>
      </c>
      <c r="F165" s="77" t="s">
        <v>1591</v>
      </c>
      <c r="G165" s="61" t="s">
        <v>459</v>
      </c>
      <c r="H165" s="61" t="s">
        <v>460</v>
      </c>
      <c r="I165" s="75" t="s">
        <v>2398</v>
      </c>
      <c r="J165" s="61" t="s">
        <v>92</v>
      </c>
    </row>
    <row r="166" spans="1:10" x14ac:dyDescent="0.25">
      <c r="A166" s="61" t="s">
        <v>66</v>
      </c>
      <c r="B166" s="68">
        <v>6</v>
      </c>
      <c r="C166" s="61" t="s">
        <v>199</v>
      </c>
      <c r="D166" s="61" t="s">
        <v>1958</v>
      </c>
      <c r="E166" s="61" t="s">
        <v>2224</v>
      </c>
      <c r="F166" s="77" t="s">
        <v>1592</v>
      </c>
      <c r="G166" s="61" t="s">
        <v>461</v>
      </c>
      <c r="H166" s="61" t="s">
        <v>462</v>
      </c>
      <c r="I166" s="75" t="s">
        <v>2154</v>
      </c>
      <c r="J166" s="61" t="s">
        <v>92</v>
      </c>
    </row>
    <row r="167" spans="1:10" x14ac:dyDescent="0.25">
      <c r="A167" s="61" t="s">
        <v>66</v>
      </c>
      <c r="B167" s="68">
        <v>7</v>
      </c>
      <c r="C167" s="63" t="s">
        <v>2795</v>
      </c>
      <c r="D167" s="57" t="s">
        <v>3277</v>
      </c>
      <c r="E167" s="63"/>
      <c r="F167" s="63"/>
      <c r="G167" s="63" t="s">
        <v>3227</v>
      </c>
      <c r="H167" s="57" t="s">
        <v>2998</v>
      </c>
      <c r="I167" s="63"/>
      <c r="J167" s="57" t="s">
        <v>2300</v>
      </c>
    </row>
    <row r="168" spans="1:10" x14ac:dyDescent="0.25">
      <c r="A168" s="61" t="s">
        <v>66</v>
      </c>
      <c r="B168" s="68">
        <v>9</v>
      </c>
      <c r="C168" s="63" t="s">
        <v>2796</v>
      </c>
      <c r="D168" s="57" t="s">
        <v>3278</v>
      </c>
      <c r="E168" s="63"/>
      <c r="F168" s="63"/>
      <c r="G168" s="63" t="s">
        <v>3228</v>
      </c>
      <c r="H168" s="57" t="s">
        <v>2999</v>
      </c>
      <c r="I168" s="63"/>
      <c r="J168" s="57" t="s">
        <v>262</v>
      </c>
    </row>
    <row r="169" spans="1:10" x14ac:dyDescent="0.25">
      <c r="A169" s="61" t="s">
        <v>66</v>
      </c>
      <c r="B169" s="68">
        <v>10</v>
      </c>
      <c r="C169" s="61" t="s">
        <v>200</v>
      </c>
      <c r="D169" s="61" t="s">
        <v>1900</v>
      </c>
      <c r="E169" s="61" t="s">
        <v>2225</v>
      </c>
      <c r="F169" s="77" t="s">
        <v>1593</v>
      </c>
      <c r="G169" s="63" t="s">
        <v>3229</v>
      </c>
      <c r="H169" s="61" t="s">
        <v>463</v>
      </c>
      <c r="I169" s="75" t="s">
        <v>2399</v>
      </c>
      <c r="J169" s="61" t="s">
        <v>195</v>
      </c>
    </row>
    <row r="170" spans="1:10" x14ac:dyDescent="0.25">
      <c r="A170" s="61" t="s">
        <v>66</v>
      </c>
      <c r="B170" s="68">
        <v>11</v>
      </c>
      <c r="C170" s="61" t="s">
        <v>201</v>
      </c>
      <c r="D170" s="61" t="s">
        <v>1901</v>
      </c>
      <c r="E170" s="61" t="s">
        <v>2226</v>
      </c>
      <c r="F170" s="77" t="s">
        <v>1594</v>
      </c>
      <c r="G170" s="63" t="s">
        <v>3230</v>
      </c>
      <c r="H170" s="61" t="s">
        <v>464</v>
      </c>
      <c r="I170" s="75" t="s">
        <v>2400</v>
      </c>
      <c r="J170" s="61" t="s">
        <v>195</v>
      </c>
    </row>
    <row r="171" spans="1:10" x14ac:dyDescent="0.25">
      <c r="A171" s="61" t="s">
        <v>66</v>
      </c>
      <c r="B171" s="68">
        <v>13</v>
      </c>
      <c r="C171" s="63" t="s">
        <v>2797</v>
      </c>
      <c r="D171" s="69" t="s">
        <v>3280</v>
      </c>
      <c r="E171" s="63"/>
      <c r="F171" s="63"/>
      <c r="G171" s="63" t="s">
        <v>3231</v>
      </c>
      <c r="H171" s="57" t="s">
        <v>3000</v>
      </c>
      <c r="I171" s="63"/>
      <c r="J171" s="57" t="s">
        <v>92</v>
      </c>
    </row>
    <row r="172" spans="1:10" x14ac:dyDescent="0.25">
      <c r="A172" s="61" t="s">
        <v>66</v>
      </c>
      <c r="B172" s="68">
        <v>14</v>
      </c>
      <c r="C172" s="63" t="s">
        <v>2798</v>
      </c>
      <c r="D172" s="57" t="s">
        <v>3279</v>
      </c>
      <c r="E172" s="63"/>
      <c r="F172" s="63"/>
      <c r="G172" s="63" t="s">
        <v>3232</v>
      </c>
      <c r="H172" s="57" t="s">
        <v>3001</v>
      </c>
      <c r="I172" s="63"/>
      <c r="J172" s="57" t="s">
        <v>156</v>
      </c>
    </row>
    <row r="173" spans="1:10" x14ac:dyDescent="0.25">
      <c r="A173" s="61" t="s">
        <v>65</v>
      </c>
      <c r="B173" s="72">
        <v>-99</v>
      </c>
      <c r="C173" s="61" t="s">
        <v>93</v>
      </c>
      <c r="D173" s="61" t="s">
        <v>1927</v>
      </c>
      <c r="E173" s="73" t="s">
        <v>2187</v>
      </c>
      <c r="F173" s="74" t="s">
        <v>2139</v>
      </c>
      <c r="G173" s="61" t="s">
        <v>277</v>
      </c>
      <c r="H173" s="61" t="s">
        <v>278</v>
      </c>
      <c r="I173" s="61" t="s">
        <v>2320</v>
      </c>
      <c r="J173" s="61" t="s">
        <v>91</v>
      </c>
    </row>
    <row r="174" spans="1:10" x14ac:dyDescent="0.25">
      <c r="A174" s="61" t="s">
        <v>65</v>
      </c>
      <c r="B174" s="68">
        <v>1</v>
      </c>
      <c r="C174" s="61" t="s">
        <v>129</v>
      </c>
      <c r="D174" s="61" t="s">
        <v>1926</v>
      </c>
      <c r="E174" s="61" t="s">
        <v>2155</v>
      </c>
      <c r="F174" s="77" t="s">
        <v>1543</v>
      </c>
      <c r="G174" s="61" t="s">
        <v>344</v>
      </c>
      <c r="H174" s="61" t="s">
        <v>345</v>
      </c>
      <c r="I174" s="75" t="s">
        <v>2346</v>
      </c>
      <c r="J174" s="61" t="s">
        <v>100</v>
      </c>
    </row>
    <row r="175" spans="1:10" x14ac:dyDescent="0.25">
      <c r="A175" s="61" t="s">
        <v>65</v>
      </c>
      <c r="B175" s="68">
        <v>2</v>
      </c>
      <c r="C175" s="61" t="s">
        <v>193</v>
      </c>
      <c r="D175" s="61" t="s">
        <v>275</v>
      </c>
      <c r="E175" s="61" t="s">
        <v>2183</v>
      </c>
      <c r="F175" s="77" t="s">
        <v>1587</v>
      </c>
      <c r="G175" s="61" t="s">
        <v>450</v>
      </c>
      <c r="H175" s="61" t="s">
        <v>451</v>
      </c>
      <c r="I175" s="75" t="s">
        <v>2393</v>
      </c>
      <c r="J175" s="61" t="s">
        <v>91</v>
      </c>
    </row>
    <row r="176" spans="1:10" x14ac:dyDescent="0.25">
      <c r="A176" s="57" t="s">
        <v>65</v>
      </c>
      <c r="B176" s="68">
        <v>3</v>
      </c>
      <c r="C176" s="64" t="s">
        <v>2792</v>
      </c>
      <c r="D176" s="69" t="s">
        <v>3281</v>
      </c>
      <c r="E176" s="63"/>
      <c r="F176" s="63"/>
      <c r="G176" s="63" t="s">
        <v>3224</v>
      </c>
      <c r="H176" s="57" t="s">
        <v>2995</v>
      </c>
      <c r="I176" s="63"/>
      <c r="J176" s="57" t="s">
        <v>91</v>
      </c>
    </row>
    <row r="177" spans="1:10" x14ac:dyDescent="0.25">
      <c r="A177" s="61" t="s">
        <v>65</v>
      </c>
      <c r="B177" s="68">
        <v>4</v>
      </c>
      <c r="C177" s="61" t="s">
        <v>194</v>
      </c>
      <c r="D177" s="61" t="s">
        <v>1899</v>
      </c>
      <c r="E177" s="61" t="s">
        <v>2181</v>
      </c>
      <c r="F177" s="77" t="s">
        <v>1588</v>
      </c>
      <c r="G177" s="61" t="s">
        <v>452</v>
      </c>
      <c r="H177" s="61" t="s">
        <v>453</v>
      </c>
      <c r="I177" s="75" t="s">
        <v>2394</v>
      </c>
      <c r="J177" s="61" t="s">
        <v>91</v>
      </c>
    </row>
    <row r="178" spans="1:10" x14ac:dyDescent="0.25">
      <c r="A178" s="61" t="s">
        <v>58</v>
      </c>
      <c r="B178" s="72">
        <v>-99</v>
      </c>
      <c r="C178" s="61" t="s">
        <v>93</v>
      </c>
      <c r="D178" s="63" t="s">
        <v>1927</v>
      </c>
      <c r="E178" s="73" t="s">
        <v>2187</v>
      </c>
      <c r="F178" s="74" t="s">
        <v>2139</v>
      </c>
      <c r="G178" s="61" t="s">
        <v>277</v>
      </c>
      <c r="H178" s="61" t="s">
        <v>278</v>
      </c>
      <c r="I178" s="61" t="s">
        <v>2320</v>
      </c>
      <c r="J178" s="61" t="s">
        <v>91</v>
      </c>
    </row>
    <row r="179" spans="1:10" x14ac:dyDescent="0.25">
      <c r="A179" s="61" t="s">
        <v>58</v>
      </c>
      <c r="B179" s="68">
        <v>1</v>
      </c>
      <c r="C179" s="61" t="s">
        <v>121</v>
      </c>
      <c r="D179" s="63" t="s">
        <v>1954</v>
      </c>
      <c r="E179" s="61" t="s">
        <v>2184</v>
      </c>
      <c r="F179" s="77" t="s">
        <v>1536</v>
      </c>
      <c r="G179" s="61" t="s">
        <v>328</v>
      </c>
      <c r="H179" s="61" t="s">
        <v>390</v>
      </c>
      <c r="I179" s="75" t="s">
        <v>2363</v>
      </c>
      <c r="J179" s="61" t="s">
        <v>100</v>
      </c>
    </row>
    <row r="180" spans="1:10" x14ac:dyDescent="0.25">
      <c r="A180" s="61" t="s">
        <v>58</v>
      </c>
      <c r="B180" s="68">
        <v>2</v>
      </c>
      <c r="C180" s="61" t="s">
        <v>159</v>
      </c>
      <c r="D180" s="63" t="s">
        <v>1893</v>
      </c>
      <c r="E180" s="61" t="s">
        <v>2204</v>
      </c>
      <c r="F180" s="77" t="s">
        <v>1565</v>
      </c>
      <c r="G180" s="61" t="s">
        <v>391</v>
      </c>
      <c r="H180" s="61" t="s">
        <v>392</v>
      </c>
      <c r="I180" s="75" t="s">
        <v>2364</v>
      </c>
      <c r="J180" s="61" t="s">
        <v>156</v>
      </c>
    </row>
    <row r="181" spans="1:10" x14ac:dyDescent="0.25">
      <c r="A181" s="61" t="s">
        <v>58</v>
      </c>
      <c r="B181" s="68">
        <v>3</v>
      </c>
      <c r="C181" s="61" t="s">
        <v>160</v>
      </c>
      <c r="D181" s="63" t="s">
        <v>1894</v>
      </c>
      <c r="E181" s="61" t="s">
        <v>2205</v>
      </c>
      <c r="F181" s="77" t="s">
        <v>1566</v>
      </c>
      <c r="G181" s="61" t="s">
        <v>393</v>
      </c>
      <c r="H181" s="61" t="s">
        <v>394</v>
      </c>
      <c r="I181" s="75" t="s">
        <v>2365</v>
      </c>
      <c r="J181" s="61" t="s">
        <v>156</v>
      </c>
    </row>
    <row r="182" spans="1:10" x14ac:dyDescent="0.25">
      <c r="A182" s="61" t="s">
        <v>58</v>
      </c>
      <c r="B182" s="68">
        <v>4</v>
      </c>
      <c r="C182" s="61" t="s">
        <v>161</v>
      </c>
      <c r="D182" s="63" t="s">
        <v>1895</v>
      </c>
      <c r="E182" s="61" t="s">
        <v>2206</v>
      </c>
      <c r="F182" s="77" t="s">
        <v>1567</v>
      </c>
      <c r="G182" s="61" t="s">
        <v>395</v>
      </c>
      <c r="H182" s="61" t="s">
        <v>396</v>
      </c>
      <c r="I182" s="75" t="s">
        <v>2366</v>
      </c>
      <c r="J182" s="61" t="s">
        <v>157</v>
      </c>
    </row>
    <row r="183" spans="1:10" x14ac:dyDescent="0.25">
      <c r="A183" s="61" t="s">
        <v>58</v>
      </c>
      <c r="B183" s="68">
        <v>5</v>
      </c>
      <c r="C183" s="63" t="s">
        <v>2688</v>
      </c>
      <c r="D183" s="57" t="s">
        <v>3282</v>
      </c>
      <c r="E183" s="63"/>
      <c r="F183" s="63"/>
      <c r="G183" s="63" t="s">
        <v>3114</v>
      </c>
      <c r="H183" s="57" t="s">
        <v>2892</v>
      </c>
      <c r="I183" s="63"/>
      <c r="J183" s="57" t="s">
        <v>3011</v>
      </c>
    </row>
    <row r="184" spans="1:10" x14ac:dyDescent="0.25">
      <c r="A184" s="61" t="s">
        <v>58</v>
      </c>
      <c r="B184" s="60">
        <v>6</v>
      </c>
      <c r="C184" s="63" t="s">
        <v>2690</v>
      </c>
      <c r="D184" s="57" t="s">
        <v>3283</v>
      </c>
      <c r="E184" s="63"/>
      <c r="F184" s="63"/>
      <c r="G184" s="63" t="s">
        <v>3116</v>
      </c>
      <c r="H184" s="57" t="s">
        <v>2894</v>
      </c>
      <c r="I184" s="63"/>
      <c r="J184" s="57" t="s">
        <v>158</v>
      </c>
    </row>
    <row r="185" spans="1:10" x14ac:dyDescent="0.25">
      <c r="A185" s="61" t="s">
        <v>58</v>
      </c>
      <c r="B185" s="60">
        <v>6</v>
      </c>
      <c r="C185" s="63" t="s">
        <v>2689</v>
      </c>
      <c r="D185" s="57" t="s">
        <v>3284</v>
      </c>
      <c r="E185" s="63"/>
      <c r="F185" s="63"/>
      <c r="G185" s="63" t="s">
        <v>3115</v>
      </c>
      <c r="H185" s="57" t="s">
        <v>2893</v>
      </c>
      <c r="I185" s="63"/>
      <c r="J185" s="57" t="s">
        <v>3011</v>
      </c>
    </row>
    <row r="186" spans="1:10" x14ac:dyDescent="0.25">
      <c r="A186" s="61" t="s">
        <v>58</v>
      </c>
      <c r="B186" s="60">
        <v>6</v>
      </c>
      <c r="C186" s="63" t="s">
        <v>2691</v>
      </c>
      <c r="D186" s="57" t="s">
        <v>3285</v>
      </c>
      <c r="E186" s="63"/>
      <c r="F186" s="63"/>
      <c r="G186" s="63" t="s">
        <v>3117</v>
      </c>
      <c r="H186" s="57" t="s">
        <v>2895</v>
      </c>
      <c r="I186" s="63"/>
      <c r="J186" s="57" t="s">
        <v>158</v>
      </c>
    </row>
    <row r="187" spans="1:10" x14ac:dyDescent="0.25">
      <c r="A187" s="61" t="s">
        <v>58</v>
      </c>
      <c r="B187" s="60">
        <v>7</v>
      </c>
      <c r="C187" s="61" t="s">
        <v>162</v>
      </c>
      <c r="D187" s="63" t="s">
        <v>3286</v>
      </c>
      <c r="E187" s="61" t="s">
        <v>2207</v>
      </c>
      <c r="F187" s="77" t="s">
        <v>1568</v>
      </c>
      <c r="G187" s="61" t="s">
        <v>397</v>
      </c>
      <c r="H187" s="61" t="s">
        <v>398</v>
      </c>
      <c r="I187" s="75" t="s">
        <v>2367</v>
      </c>
      <c r="J187" s="61" t="s">
        <v>158</v>
      </c>
    </row>
    <row r="188" spans="1:10" x14ac:dyDescent="0.25">
      <c r="A188" s="61" t="s">
        <v>58</v>
      </c>
      <c r="B188" s="68">
        <v>11</v>
      </c>
      <c r="C188" s="63" t="s">
        <v>2692</v>
      </c>
      <c r="D188" s="57" t="s">
        <v>3287</v>
      </c>
      <c r="E188" s="63"/>
      <c r="F188" s="63"/>
      <c r="G188" s="63" t="s">
        <v>3118</v>
      </c>
      <c r="H188" s="57" t="s">
        <v>2896</v>
      </c>
      <c r="I188" s="63"/>
      <c r="J188" s="57" t="s">
        <v>195</v>
      </c>
    </row>
    <row r="189" spans="1:10" x14ac:dyDescent="0.25">
      <c r="A189" s="61" t="s">
        <v>58</v>
      </c>
      <c r="B189" s="68">
        <v>21</v>
      </c>
      <c r="C189" s="63" t="s">
        <v>2693</v>
      </c>
      <c r="D189" s="57" t="s">
        <v>3288</v>
      </c>
      <c r="E189" s="63"/>
      <c r="F189" s="63"/>
      <c r="G189" s="63" t="s">
        <v>3119</v>
      </c>
      <c r="H189" s="57" t="s">
        <v>2897</v>
      </c>
      <c r="I189" s="63"/>
      <c r="J189" s="60" t="s">
        <v>235</v>
      </c>
    </row>
    <row r="190" spans="1:10" x14ac:dyDescent="0.25">
      <c r="A190" s="61" t="s">
        <v>57</v>
      </c>
      <c r="B190" s="72">
        <v>-99</v>
      </c>
      <c r="C190" s="61" t="s">
        <v>93</v>
      </c>
      <c r="D190" s="61" t="s">
        <v>1927</v>
      </c>
      <c r="E190" s="73" t="s">
        <v>2187</v>
      </c>
      <c r="F190" s="74" t="s">
        <v>2139</v>
      </c>
      <c r="G190" s="61" t="s">
        <v>277</v>
      </c>
      <c r="H190" s="61" t="s">
        <v>278</v>
      </c>
      <c r="I190" s="61" t="s">
        <v>2320</v>
      </c>
      <c r="J190" s="61" t="s">
        <v>91</v>
      </c>
    </row>
    <row r="191" spans="1:10" x14ac:dyDescent="0.25">
      <c r="A191" s="61" t="s">
        <v>57</v>
      </c>
      <c r="B191" s="68">
        <v>1</v>
      </c>
      <c r="C191" s="61" t="s">
        <v>121</v>
      </c>
      <c r="D191" s="63" t="s">
        <v>1926</v>
      </c>
      <c r="E191" s="61" t="s">
        <v>2155</v>
      </c>
      <c r="F191" s="77" t="s">
        <v>1536</v>
      </c>
      <c r="G191" s="61" t="s">
        <v>328</v>
      </c>
      <c r="H191" s="61" t="s">
        <v>387</v>
      </c>
      <c r="I191" s="75" t="s">
        <v>2361</v>
      </c>
      <c r="J191" s="61" t="s">
        <v>100</v>
      </c>
    </row>
    <row r="192" spans="1:10" x14ac:dyDescent="0.25">
      <c r="A192" s="61" t="s">
        <v>57</v>
      </c>
      <c r="B192" s="68">
        <v>2</v>
      </c>
      <c r="C192" s="61" t="s">
        <v>154</v>
      </c>
      <c r="D192" s="64" t="s">
        <v>3302</v>
      </c>
      <c r="E192" s="61"/>
      <c r="F192" s="63"/>
      <c r="G192" s="61" t="s">
        <v>385</v>
      </c>
      <c r="H192" s="61" t="s">
        <v>386</v>
      </c>
      <c r="I192" s="75" t="s">
        <v>2360</v>
      </c>
      <c r="J192" s="61" t="s">
        <v>153</v>
      </c>
    </row>
    <row r="193" spans="1:10" x14ac:dyDescent="0.25">
      <c r="A193" s="57" t="s">
        <v>57</v>
      </c>
      <c r="B193" s="68">
        <v>2</v>
      </c>
      <c r="C193" s="63" t="s">
        <v>2668</v>
      </c>
      <c r="D193" s="64" t="s">
        <v>3301</v>
      </c>
      <c r="E193" s="61"/>
      <c r="F193" s="63"/>
      <c r="G193" s="63" t="s">
        <v>3093</v>
      </c>
      <c r="H193" s="57" t="s">
        <v>2871</v>
      </c>
      <c r="I193" s="63"/>
      <c r="J193" s="57" t="s">
        <v>153</v>
      </c>
    </row>
    <row r="194" spans="1:10" x14ac:dyDescent="0.25">
      <c r="A194" s="61" t="s">
        <v>57</v>
      </c>
      <c r="B194" s="68">
        <v>2</v>
      </c>
      <c r="C194" s="61" t="s">
        <v>155</v>
      </c>
      <c r="D194" s="63" t="s">
        <v>275</v>
      </c>
      <c r="E194" s="61" t="s">
        <v>2183</v>
      </c>
      <c r="F194" s="77" t="s">
        <v>1564</v>
      </c>
      <c r="G194" s="61" t="s">
        <v>388</v>
      </c>
      <c r="H194" s="61" t="s">
        <v>389</v>
      </c>
      <c r="I194" s="75" t="s">
        <v>2362</v>
      </c>
      <c r="J194" s="61" t="s">
        <v>91</v>
      </c>
    </row>
    <row r="195" spans="1:10" x14ac:dyDescent="0.25">
      <c r="A195" s="57" t="s">
        <v>57</v>
      </c>
      <c r="B195" s="68">
        <v>5</v>
      </c>
      <c r="C195" s="63" t="s">
        <v>2596</v>
      </c>
      <c r="D195" s="69" t="s">
        <v>3297</v>
      </c>
      <c r="E195" s="63"/>
      <c r="F195" s="63"/>
      <c r="G195" s="63" t="s">
        <v>3094</v>
      </c>
      <c r="H195" s="57" t="s">
        <v>2872</v>
      </c>
      <c r="I195" s="63"/>
      <c r="J195" s="57" t="s">
        <v>92</v>
      </c>
    </row>
    <row r="196" spans="1:10" x14ac:dyDescent="0.25">
      <c r="A196" s="57" t="s">
        <v>57</v>
      </c>
      <c r="B196" s="68">
        <v>6</v>
      </c>
      <c r="C196" s="63" t="s">
        <v>2669</v>
      </c>
      <c r="D196" s="57" t="s">
        <v>3295</v>
      </c>
      <c r="E196" s="63"/>
      <c r="F196" s="63"/>
      <c r="G196" s="63" t="s">
        <v>3095</v>
      </c>
      <c r="H196" s="57" t="s">
        <v>2873</v>
      </c>
      <c r="I196" s="63"/>
      <c r="J196" s="57" t="s">
        <v>156</v>
      </c>
    </row>
    <row r="197" spans="1:10" x14ac:dyDescent="0.25">
      <c r="A197" s="57" t="s">
        <v>57</v>
      </c>
      <c r="B197" s="68">
        <v>7</v>
      </c>
      <c r="C197" s="63" t="s">
        <v>2670</v>
      </c>
      <c r="D197" s="57" t="s">
        <v>3298</v>
      </c>
      <c r="E197" s="63"/>
      <c r="F197" s="63"/>
      <c r="G197" s="63" t="s">
        <v>3096</v>
      </c>
      <c r="H197" s="57" t="s">
        <v>2874</v>
      </c>
      <c r="I197" s="63"/>
      <c r="J197" s="57" t="s">
        <v>195</v>
      </c>
    </row>
    <row r="198" spans="1:10" x14ac:dyDescent="0.25">
      <c r="A198" s="57" t="s">
        <v>57</v>
      </c>
      <c r="B198" s="68">
        <v>8</v>
      </c>
      <c r="C198" s="63" t="s">
        <v>2672</v>
      </c>
      <c r="D198" s="57" t="s">
        <v>3294</v>
      </c>
      <c r="E198" s="63"/>
      <c r="F198" s="63"/>
      <c r="G198" s="63" t="s">
        <v>3098</v>
      </c>
      <c r="H198" s="57" t="s">
        <v>2876</v>
      </c>
      <c r="I198" s="63"/>
      <c r="J198" s="57" t="s">
        <v>262</v>
      </c>
    </row>
    <row r="199" spans="1:10" x14ac:dyDescent="0.25">
      <c r="A199" s="57" t="s">
        <v>57</v>
      </c>
      <c r="B199" s="68">
        <v>8</v>
      </c>
      <c r="C199" s="63" t="s">
        <v>2671</v>
      </c>
      <c r="D199" s="57" t="s">
        <v>3293</v>
      </c>
      <c r="E199" s="63"/>
      <c r="F199" s="63"/>
      <c r="G199" s="63" t="s">
        <v>3097</v>
      </c>
      <c r="H199" s="57" t="s">
        <v>2875</v>
      </c>
      <c r="I199" s="63"/>
      <c r="J199" s="57" t="s">
        <v>195</v>
      </c>
    </row>
    <row r="200" spans="1:10" x14ac:dyDescent="0.25">
      <c r="A200" s="57" t="s">
        <v>57</v>
      </c>
      <c r="B200" s="68">
        <v>9</v>
      </c>
      <c r="C200" s="63" t="s">
        <v>2673</v>
      </c>
      <c r="D200" s="57" t="s">
        <v>3289</v>
      </c>
      <c r="E200" s="63"/>
      <c r="F200" s="63"/>
      <c r="G200" s="63" t="s">
        <v>3099</v>
      </c>
      <c r="H200" s="57" t="s">
        <v>2877</v>
      </c>
      <c r="I200" s="63"/>
      <c r="J200" s="57" t="s">
        <v>195</v>
      </c>
    </row>
    <row r="201" spans="1:10" x14ac:dyDescent="0.25">
      <c r="A201" s="57" t="s">
        <v>57</v>
      </c>
      <c r="B201" s="68">
        <v>10</v>
      </c>
      <c r="C201" s="63" t="s">
        <v>2674</v>
      </c>
      <c r="D201" s="57" t="s">
        <v>3290</v>
      </c>
      <c r="E201" s="63"/>
      <c r="F201" s="63"/>
      <c r="G201" s="63" t="s">
        <v>3100</v>
      </c>
      <c r="H201" s="57" t="s">
        <v>2878</v>
      </c>
      <c r="I201" s="63"/>
      <c r="J201" s="57" t="s">
        <v>195</v>
      </c>
    </row>
    <row r="202" spans="1:10" x14ac:dyDescent="0.25">
      <c r="A202" s="57" t="s">
        <v>57</v>
      </c>
      <c r="B202" s="68">
        <v>11</v>
      </c>
      <c r="C202" s="63" t="s">
        <v>2675</v>
      </c>
      <c r="D202" s="57" t="s">
        <v>3291</v>
      </c>
      <c r="E202" s="63"/>
      <c r="F202" s="63"/>
      <c r="G202" s="63" t="s">
        <v>3101</v>
      </c>
      <c r="H202" s="57" t="s">
        <v>2879</v>
      </c>
      <c r="I202" s="63"/>
      <c r="J202" s="57" t="s">
        <v>195</v>
      </c>
    </row>
    <row r="203" spans="1:10" x14ac:dyDescent="0.25">
      <c r="A203" s="57" t="s">
        <v>57</v>
      </c>
      <c r="B203" s="68">
        <v>12</v>
      </c>
      <c r="C203" s="63" t="s">
        <v>2676</v>
      </c>
      <c r="D203" s="57" t="s">
        <v>3292</v>
      </c>
      <c r="E203" s="63"/>
      <c r="F203" s="63"/>
      <c r="G203" s="63" t="s">
        <v>3102</v>
      </c>
      <c r="H203" s="57" t="s">
        <v>2880</v>
      </c>
      <c r="I203" s="63"/>
      <c r="J203" s="57" t="s">
        <v>195</v>
      </c>
    </row>
    <row r="204" spans="1:10" x14ac:dyDescent="0.25">
      <c r="A204" s="57" t="s">
        <v>57</v>
      </c>
      <c r="B204" s="68">
        <v>13</v>
      </c>
      <c r="C204" s="63" t="s">
        <v>2677</v>
      </c>
      <c r="D204" s="57" t="s">
        <v>3299</v>
      </c>
      <c r="E204" s="63"/>
      <c r="F204" s="63"/>
      <c r="G204" s="63" t="s">
        <v>3103</v>
      </c>
      <c r="H204" s="57" t="s">
        <v>2881</v>
      </c>
      <c r="I204" s="63"/>
      <c r="J204" s="57" t="s">
        <v>262</v>
      </c>
    </row>
    <row r="205" spans="1:10" x14ac:dyDescent="0.25">
      <c r="A205" s="57" t="s">
        <v>57</v>
      </c>
      <c r="B205" s="68">
        <v>14</v>
      </c>
      <c r="C205" s="63" t="s">
        <v>2678</v>
      </c>
      <c r="D205" s="57" t="s">
        <v>3300</v>
      </c>
      <c r="E205" s="63"/>
      <c r="F205" s="63"/>
      <c r="G205" s="63" t="s">
        <v>3104</v>
      </c>
      <c r="H205" s="57" t="s">
        <v>2882</v>
      </c>
      <c r="I205" s="63"/>
      <c r="J205" s="57" t="s">
        <v>262</v>
      </c>
    </row>
    <row r="206" spans="1:10" x14ac:dyDescent="0.25">
      <c r="A206" s="57" t="s">
        <v>57</v>
      </c>
      <c r="B206" s="68">
        <v>23</v>
      </c>
      <c r="C206" s="63" t="s">
        <v>2680</v>
      </c>
      <c r="D206" s="57" t="s">
        <v>3303</v>
      </c>
      <c r="E206" s="63"/>
      <c r="F206" s="63"/>
      <c r="G206" s="63" t="s">
        <v>3106</v>
      </c>
      <c r="H206" s="57" t="s">
        <v>2884</v>
      </c>
      <c r="I206" s="63"/>
      <c r="J206" s="57" t="s">
        <v>165</v>
      </c>
    </row>
    <row r="207" spans="1:10" x14ac:dyDescent="0.25">
      <c r="A207" s="57" t="s">
        <v>57</v>
      </c>
      <c r="B207" s="68">
        <v>23</v>
      </c>
      <c r="C207" s="63" t="s">
        <v>2679</v>
      </c>
      <c r="D207" s="57" t="s">
        <v>3304</v>
      </c>
      <c r="E207" s="63"/>
      <c r="F207" s="63"/>
      <c r="G207" s="63" t="s">
        <v>3105</v>
      </c>
      <c r="H207" s="57" t="s">
        <v>2883</v>
      </c>
      <c r="I207" s="63"/>
      <c r="J207" s="57" t="s">
        <v>195</v>
      </c>
    </row>
    <row r="208" spans="1:10" x14ac:dyDescent="0.25">
      <c r="A208" s="57" t="s">
        <v>57</v>
      </c>
      <c r="B208" s="68">
        <v>24</v>
      </c>
      <c r="C208" s="63" t="s">
        <v>2681</v>
      </c>
      <c r="D208" s="57" t="s">
        <v>3296</v>
      </c>
      <c r="E208" s="63"/>
      <c r="F208" s="63"/>
      <c r="G208" s="63" t="s">
        <v>3107</v>
      </c>
      <c r="H208" s="57" t="s">
        <v>2885</v>
      </c>
      <c r="I208" s="63"/>
      <c r="J208" s="57" t="s">
        <v>156</v>
      </c>
    </row>
    <row r="209" spans="1:10" x14ac:dyDescent="0.25">
      <c r="A209" s="57" t="s">
        <v>57</v>
      </c>
      <c r="B209" s="68">
        <v>25</v>
      </c>
      <c r="C209" s="63" t="s">
        <v>2682</v>
      </c>
      <c r="D209" s="57" t="s">
        <v>3305</v>
      </c>
      <c r="E209" s="63"/>
      <c r="F209" s="63"/>
      <c r="G209" s="63" t="s">
        <v>3108</v>
      </c>
      <c r="H209" s="57" t="s">
        <v>2886</v>
      </c>
      <c r="I209" s="63"/>
      <c r="J209" s="57" t="s">
        <v>158</v>
      </c>
    </row>
    <row r="210" spans="1:10" x14ac:dyDescent="0.25">
      <c r="A210" s="57" t="s">
        <v>57</v>
      </c>
      <c r="B210" s="68">
        <v>25</v>
      </c>
      <c r="C210" s="63" t="s">
        <v>2683</v>
      </c>
      <c r="D210" s="57" t="s">
        <v>3306</v>
      </c>
      <c r="E210" s="63"/>
      <c r="F210" s="63"/>
      <c r="G210" s="63" t="s">
        <v>3109</v>
      </c>
      <c r="H210" s="57" t="s">
        <v>2887</v>
      </c>
      <c r="I210" s="63"/>
      <c r="J210" s="57" t="s">
        <v>158</v>
      </c>
    </row>
    <row r="211" spans="1:10" x14ac:dyDescent="0.25">
      <c r="A211" s="57" t="s">
        <v>57</v>
      </c>
      <c r="B211" s="68">
        <v>25</v>
      </c>
      <c r="C211" s="63" t="s">
        <v>2684</v>
      </c>
      <c r="D211" s="57" t="s">
        <v>3307</v>
      </c>
      <c r="E211" s="63"/>
      <c r="F211" s="63"/>
      <c r="G211" s="63" t="s">
        <v>3110</v>
      </c>
      <c r="H211" s="57" t="s">
        <v>2888</v>
      </c>
      <c r="I211" s="63"/>
      <c r="J211" s="57" t="s">
        <v>158</v>
      </c>
    </row>
    <row r="212" spans="1:10" x14ac:dyDescent="0.25">
      <c r="A212" s="57" t="s">
        <v>57</v>
      </c>
      <c r="B212" s="68">
        <v>26</v>
      </c>
      <c r="C212" s="63" t="s">
        <v>2685</v>
      </c>
      <c r="D212" s="57" t="s">
        <v>3309</v>
      </c>
      <c r="E212" s="63"/>
      <c r="F212" s="63"/>
      <c r="G212" s="63" t="s">
        <v>3111</v>
      </c>
      <c r="H212" s="57" t="s">
        <v>2889</v>
      </c>
      <c r="I212" s="63"/>
      <c r="J212" s="57" t="s">
        <v>3010</v>
      </c>
    </row>
    <row r="213" spans="1:10" x14ac:dyDescent="0.25">
      <c r="A213" s="57" t="s">
        <v>57</v>
      </c>
      <c r="B213" s="68">
        <v>27</v>
      </c>
      <c r="C213" s="63" t="s">
        <v>2686</v>
      </c>
      <c r="D213" s="57" t="s">
        <v>3308</v>
      </c>
      <c r="E213" s="63"/>
      <c r="F213" s="63"/>
      <c r="G213" s="63" t="s">
        <v>3112</v>
      </c>
      <c r="H213" s="57" t="s">
        <v>2890</v>
      </c>
      <c r="I213" s="63"/>
      <c r="J213" s="57" t="s">
        <v>100</v>
      </c>
    </row>
    <row r="214" spans="1:10" x14ac:dyDescent="0.25">
      <c r="A214" s="57" t="s">
        <v>57</v>
      </c>
      <c r="B214" s="68">
        <v>28</v>
      </c>
      <c r="C214" s="63" t="s">
        <v>2687</v>
      </c>
      <c r="D214" s="57" t="s">
        <v>3310</v>
      </c>
      <c r="E214" s="63"/>
      <c r="F214" s="63"/>
      <c r="G214" s="63" t="s">
        <v>3113</v>
      </c>
      <c r="H214" s="57" t="s">
        <v>2891</v>
      </c>
      <c r="I214" s="63"/>
      <c r="J214" s="57" t="s">
        <v>262</v>
      </c>
    </row>
    <row r="215" spans="1:10" x14ac:dyDescent="0.25">
      <c r="A215" s="61" t="s">
        <v>51</v>
      </c>
      <c r="B215" s="72">
        <v>-99</v>
      </c>
      <c r="C215" s="61" t="s">
        <v>93</v>
      </c>
      <c r="D215" s="61" t="s">
        <v>1927</v>
      </c>
      <c r="E215" s="73" t="s">
        <v>2187</v>
      </c>
      <c r="F215" s="74" t="s">
        <v>2139</v>
      </c>
      <c r="G215" s="61" t="s">
        <v>277</v>
      </c>
      <c r="H215" s="61" t="s">
        <v>278</v>
      </c>
      <c r="I215" s="61" t="s">
        <v>2320</v>
      </c>
      <c r="J215" s="61" t="s">
        <v>91</v>
      </c>
    </row>
    <row r="216" spans="1:10" x14ac:dyDescent="0.25">
      <c r="A216" s="61" t="s">
        <v>51</v>
      </c>
      <c r="B216" s="61"/>
      <c r="C216" s="61" t="s">
        <v>106</v>
      </c>
      <c r="D216" s="61" t="s">
        <v>1926</v>
      </c>
      <c r="E216" s="61" t="s">
        <v>2155</v>
      </c>
      <c r="F216" s="77" t="s">
        <v>1522</v>
      </c>
      <c r="G216" s="61" t="s">
        <v>301</v>
      </c>
      <c r="H216" s="61" t="s">
        <v>292</v>
      </c>
      <c r="I216" s="61" t="s">
        <v>2331</v>
      </c>
      <c r="J216" s="61" t="s">
        <v>100</v>
      </c>
    </row>
    <row r="217" spans="1:10" x14ac:dyDescent="0.25">
      <c r="A217" s="61" t="s">
        <v>51</v>
      </c>
      <c r="B217" s="61"/>
      <c r="C217" s="61" t="s">
        <v>107</v>
      </c>
      <c r="D217" s="61" t="s">
        <v>1928</v>
      </c>
      <c r="E217" s="61" t="s">
        <v>2162</v>
      </c>
      <c r="F217" s="77" t="s">
        <v>1523</v>
      </c>
      <c r="G217" s="61" t="s">
        <v>302</v>
      </c>
      <c r="H217" s="61" t="s">
        <v>303</v>
      </c>
      <c r="I217" s="61" t="s">
        <v>2332</v>
      </c>
      <c r="J217" s="61" t="s">
        <v>91</v>
      </c>
    </row>
    <row r="218" spans="1:10" x14ac:dyDescent="0.25">
      <c r="A218" s="61" t="s">
        <v>51</v>
      </c>
      <c r="B218" s="61"/>
      <c r="C218" s="61" t="s">
        <v>109</v>
      </c>
      <c r="D218" s="61" t="s">
        <v>1930</v>
      </c>
      <c r="E218" s="61" t="s">
        <v>2163</v>
      </c>
      <c r="F218" s="77" t="s">
        <v>1525</v>
      </c>
      <c r="G218" s="61" t="s">
        <v>306</v>
      </c>
      <c r="H218" s="61" t="s">
        <v>307</v>
      </c>
      <c r="I218" s="61" t="s">
        <v>2334</v>
      </c>
      <c r="J218" s="61" t="s">
        <v>92</v>
      </c>
    </row>
    <row r="219" spans="1:10" x14ac:dyDescent="0.25">
      <c r="A219" s="61" t="s">
        <v>51</v>
      </c>
      <c r="B219" s="61"/>
      <c r="C219" s="61" t="s">
        <v>108</v>
      </c>
      <c r="D219" s="61" t="s">
        <v>1929</v>
      </c>
      <c r="E219" s="61" t="s">
        <v>2157</v>
      </c>
      <c r="F219" s="77" t="s">
        <v>1524</v>
      </c>
      <c r="G219" s="61" t="s">
        <v>304</v>
      </c>
      <c r="H219" s="61" t="s">
        <v>305</v>
      </c>
      <c r="I219" s="61" t="s">
        <v>2333</v>
      </c>
      <c r="J219" s="61" t="s">
        <v>92</v>
      </c>
    </row>
    <row r="220" spans="1:10" x14ac:dyDescent="0.25">
      <c r="A220" s="61" t="s">
        <v>62</v>
      </c>
      <c r="B220" s="72">
        <v>-99</v>
      </c>
      <c r="C220" s="61" t="s">
        <v>93</v>
      </c>
      <c r="D220" s="63" t="s">
        <v>1927</v>
      </c>
      <c r="E220" s="73" t="s">
        <v>2187</v>
      </c>
      <c r="F220" s="74" t="s">
        <v>2139</v>
      </c>
      <c r="G220" s="61" t="s">
        <v>277</v>
      </c>
      <c r="H220" s="61" t="s">
        <v>278</v>
      </c>
      <c r="I220" s="61" t="s">
        <v>2320</v>
      </c>
      <c r="J220" s="61" t="s">
        <v>91</v>
      </c>
    </row>
    <row r="221" spans="1:10" x14ac:dyDescent="0.25">
      <c r="A221" s="61" t="s">
        <v>62</v>
      </c>
      <c r="B221" s="68">
        <v>1</v>
      </c>
      <c r="C221" s="61" t="s">
        <v>123</v>
      </c>
      <c r="D221" s="63" t="s">
        <v>1954</v>
      </c>
      <c r="E221" s="61" t="s">
        <v>2184</v>
      </c>
      <c r="F221" s="77" t="s">
        <v>1659</v>
      </c>
      <c r="G221" s="61" t="s">
        <v>332</v>
      </c>
      <c r="H221" s="61" t="s">
        <v>422</v>
      </c>
      <c r="I221" s="75" t="s">
        <v>2379</v>
      </c>
      <c r="J221" s="61" t="s">
        <v>100</v>
      </c>
    </row>
    <row r="222" spans="1:10" x14ac:dyDescent="0.25">
      <c r="A222" s="61" t="s">
        <v>62</v>
      </c>
      <c r="B222" s="68">
        <v>2</v>
      </c>
      <c r="C222" s="61" t="s">
        <v>177</v>
      </c>
      <c r="D222" s="63" t="s">
        <v>2063</v>
      </c>
      <c r="E222" s="61" t="s">
        <v>2182</v>
      </c>
      <c r="F222" s="77" t="s">
        <v>1663</v>
      </c>
      <c r="G222" s="61" t="s">
        <v>420</v>
      </c>
      <c r="H222" s="61" t="s">
        <v>421</v>
      </c>
      <c r="I222" s="75" t="s">
        <v>2378</v>
      </c>
      <c r="J222" s="61" t="s">
        <v>153</v>
      </c>
    </row>
    <row r="223" spans="1:10" x14ac:dyDescent="0.25">
      <c r="A223" s="61" t="s">
        <v>62</v>
      </c>
      <c r="B223" s="68">
        <v>4</v>
      </c>
      <c r="C223" s="61" t="s">
        <v>178</v>
      </c>
      <c r="D223" s="63" t="s">
        <v>2055</v>
      </c>
      <c r="E223" s="61" t="s">
        <v>2214</v>
      </c>
      <c r="F223" s="77" t="s">
        <v>1664</v>
      </c>
      <c r="G223" s="61" t="s">
        <v>423</v>
      </c>
      <c r="H223" s="61" t="s">
        <v>424</v>
      </c>
      <c r="I223" s="75" t="s">
        <v>2380</v>
      </c>
      <c r="J223" s="61" t="s">
        <v>92</v>
      </c>
    </row>
    <row r="224" spans="1:10" x14ac:dyDescent="0.25">
      <c r="A224" s="61" t="s">
        <v>62</v>
      </c>
      <c r="B224" s="68">
        <v>5</v>
      </c>
      <c r="C224" s="61" t="s">
        <v>179</v>
      </c>
      <c r="D224" s="63" t="s">
        <v>1892</v>
      </c>
      <c r="E224" s="61" t="s">
        <v>2215</v>
      </c>
      <c r="F224" s="74" t="s">
        <v>1665</v>
      </c>
      <c r="G224" s="61" t="s">
        <v>425</v>
      </c>
      <c r="H224" s="61" t="s">
        <v>426</v>
      </c>
      <c r="I224" s="75" t="s">
        <v>2381</v>
      </c>
      <c r="J224" s="61" t="s">
        <v>165</v>
      </c>
    </row>
    <row r="225" spans="1:10" x14ac:dyDescent="0.25">
      <c r="A225" s="61" t="s">
        <v>62</v>
      </c>
      <c r="B225" s="68">
        <v>6</v>
      </c>
      <c r="C225" s="63" t="s">
        <v>2716</v>
      </c>
      <c r="D225" s="57" t="s">
        <v>1889</v>
      </c>
      <c r="E225" s="63"/>
      <c r="F225" s="63"/>
      <c r="G225" s="63" t="s">
        <v>3143</v>
      </c>
      <c r="H225" s="57" t="s">
        <v>2920</v>
      </c>
      <c r="I225" s="63"/>
      <c r="J225" s="57" t="s">
        <v>156</v>
      </c>
    </row>
    <row r="226" spans="1:10" x14ac:dyDescent="0.25">
      <c r="A226" s="61" t="s">
        <v>62</v>
      </c>
      <c r="B226" s="68">
        <v>7</v>
      </c>
      <c r="C226" s="63" t="s">
        <v>2717</v>
      </c>
      <c r="D226" s="57" t="s">
        <v>3311</v>
      </c>
      <c r="E226" s="63"/>
      <c r="F226" s="63"/>
      <c r="G226" s="63" t="s">
        <v>3144</v>
      </c>
      <c r="H226" s="57" t="s">
        <v>2921</v>
      </c>
      <c r="I226" s="63"/>
      <c r="J226" s="57" t="s">
        <v>195</v>
      </c>
    </row>
    <row r="227" spans="1:10" x14ac:dyDescent="0.25">
      <c r="A227" s="61" t="s">
        <v>62</v>
      </c>
      <c r="B227" s="68">
        <v>8</v>
      </c>
      <c r="C227" s="63" t="s">
        <v>2718</v>
      </c>
      <c r="D227" s="57" t="s">
        <v>3312</v>
      </c>
      <c r="E227" s="63"/>
      <c r="F227" s="63"/>
      <c r="G227" s="63" t="s">
        <v>3145</v>
      </c>
      <c r="H227" s="57" t="s">
        <v>2922</v>
      </c>
      <c r="I227" s="63"/>
      <c r="J227" s="57" t="s">
        <v>165</v>
      </c>
    </row>
    <row r="228" spans="1:10" x14ac:dyDescent="0.25">
      <c r="A228" s="61" t="s">
        <v>62</v>
      </c>
      <c r="B228" s="68">
        <v>9</v>
      </c>
      <c r="C228" s="63" t="s">
        <v>2719</v>
      </c>
      <c r="D228" s="57" t="s">
        <v>3274</v>
      </c>
      <c r="E228" s="63"/>
      <c r="F228" s="63"/>
      <c r="G228" s="63" t="s">
        <v>3146</v>
      </c>
      <c r="H228" s="57" t="s">
        <v>2923</v>
      </c>
      <c r="I228" s="63"/>
      <c r="J228" s="57" t="s">
        <v>91</v>
      </c>
    </row>
    <row r="229" spans="1:10" x14ac:dyDescent="0.25">
      <c r="A229" s="61" t="s">
        <v>61</v>
      </c>
      <c r="B229" s="72">
        <v>-99</v>
      </c>
      <c r="C229" s="61" t="s">
        <v>93</v>
      </c>
      <c r="D229" s="61" t="s">
        <v>1927</v>
      </c>
      <c r="E229" s="73" t="s">
        <v>2187</v>
      </c>
      <c r="F229" s="74" t="s">
        <v>2139</v>
      </c>
      <c r="G229" s="61" t="s">
        <v>277</v>
      </c>
      <c r="H229" s="61" t="s">
        <v>278</v>
      </c>
      <c r="I229" s="75" t="s">
        <v>2320</v>
      </c>
      <c r="J229" s="61" t="s">
        <v>91</v>
      </c>
    </row>
    <row r="230" spans="1:10" x14ac:dyDescent="0.25">
      <c r="A230" s="62" t="s">
        <v>61</v>
      </c>
      <c r="B230" s="68">
        <v>1</v>
      </c>
      <c r="C230" s="62" t="s">
        <v>123</v>
      </c>
      <c r="D230" s="62" t="s">
        <v>1926</v>
      </c>
      <c r="E230" s="61" t="s">
        <v>2155</v>
      </c>
      <c r="F230" s="69" t="s">
        <v>1658</v>
      </c>
      <c r="G230" s="62" t="s">
        <v>332</v>
      </c>
      <c r="H230" s="62" t="s">
        <v>333</v>
      </c>
      <c r="I230" s="75" t="s">
        <v>2341</v>
      </c>
      <c r="J230" s="62" t="s">
        <v>100</v>
      </c>
    </row>
    <row r="231" spans="1:10" x14ac:dyDescent="0.25">
      <c r="A231" s="61" t="s">
        <v>61</v>
      </c>
      <c r="B231" s="68">
        <v>2</v>
      </c>
      <c r="C231" s="61" t="s">
        <v>174</v>
      </c>
      <c r="D231" s="61" t="s">
        <v>275</v>
      </c>
      <c r="E231" s="61" t="s">
        <v>2183</v>
      </c>
      <c r="F231" s="77" t="s">
        <v>1660</v>
      </c>
      <c r="G231" s="61" t="s">
        <v>415</v>
      </c>
      <c r="H231" s="61" t="s">
        <v>416</v>
      </c>
      <c r="I231" s="75" t="s">
        <v>2375</v>
      </c>
      <c r="J231" s="61" t="s">
        <v>91</v>
      </c>
    </row>
    <row r="232" spans="1:10" x14ac:dyDescent="0.25">
      <c r="A232" s="61" t="s">
        <v>61</v>
      </c>
      <c r="B232" s="68">
        <v>3</v>
      </c>
      <c r="C232" s="61" t="s">
        <v>175</v>
      </c>
      <c r="D232" s="61" t="s">
        <v>1899</v>
      </c>
      <c r="E232" s="61" t="s">
        <v>2181</v>
      </c>
      <c r="F232" s="77" t="s">
        <v>1661</v>
      </c>
      <c r="G232" s="61" t="s">
        <v>417</v>
      </c>
      <c r="H232" s="61" t="s">
        <v>418</v>
      </c>
      <c r="I232" s="75" t="s">
        <v>2376</v>
      </c>
      <c r="J232" s="61" t="s">
        <v>91</v>
      </c>
    </row>
    <row r="233" spans="1:10" x14ac:dyDescent="0.25">
      <c r="A233" s="57" t="s">
        <v>61</v>
      </c>
      <c r="B233" s="68">
        <v>11</v>
      </c>
      <c r="C233" s="63" t="s">
        <v>2714</v>
      </c>
      <c r="D233" s="69" t="s">
        <v>3321</v>
      </c>
      <c r="E233" s="63"/>
      <c r="F233" s="63"/>
      <c r="G233" s="63" t="s">
        <v>3140</v>
      </c>
      <c r="H233" s="57" t="s">
        <v>2918</v>
      </c>
      <c r="I233" s="63"/>
      <c r="J233" s="57" t="s">
        <v>92</v>
      </c>
    </row>
    <row r="234" spans="1:10" x14ac:dyDescent="0.25">
      <c r="A234" s="57" t="s">
        <v>61</v>
      </c>
      <c r="B234" s="68">
        <v>21</v>
      </c>
      <c r="C234" s="63" t="s">
        <v>2715</v>
      </c>
      <c r="D234" s="57" t="s">
        <v>3320</v>
      </c>
      <c r="E234" s="63"/>
      <c r="F234" s="63"/>
      <c r="G234" s="63" t="s">
        <v>3141</v>
      </c>
      <c r="H234" s="57" t="s">
        <v>2919</v>
      </c>
      <c r="I234" s="63"/>
      <c r="J234" s="57" t="s">
        <v>165</v>
      </c>
    </row>
    <row r="235" spans="1:10" x14ac:dyDescent="0.25">
      <c r="A235" s="61" t="s">
        <v>61</v>
      </c>
      <c r="B235" s="68">
        <v>22</v>
      </c>
      <c r="C235" s="61" t="s">
        <v>176</v>
      </c>
      <c r="D235" s="61" t="s">
        <v>1955</v>
      </c>
      <c r="E235" s="61" t="s">
        <v>2213</v>
      </c>
      <c r="F235" s="77" t="s">
        <v>1662</v>
      </c>
      <c r="G235" s="63" t="s">
        <v>3142</v>
      </c>
      <c r="H235" s="61" t="s">
        <v>419</v>
      </c>
      <c r="I235" s="75" t="s">
        <v>2377</v>
      </c>
      <c r="J235" s="61" t="s">
        <v>100</v>
      </c>
    </row>
    <row r="236" spans="1:10" x14ac:dyDescent="0.25">
      <c r="A236" s="65" t="s">
        <v>2801</v>
      </c>
      <c r="B236" s="68">
        <v>1</v>
      </c>
      <c r="C236" s="66" t="s">
        <v>130</v>
      </c>
      <c r="D236" s="62" t="s">
        <v>1926</v>
      </c>
    </row>
    <row r="237" spans="1:10" x14ac:dyDescent="0.25">
      <c r="A237" s="57" t="s">
        <v>2801</v>
      </c>
      <c r="B237" s="68">
        <v>2</v>
      </c>
      <c r="C237" s="63" t="s">
        <v>2757</v>
      </c>
      <c r="D237" s="61" t="s">
        <v>3313</v>
      </c>
      <c r="E237" s="63"/>
      <c r="F237" s="63"/>
      <c r="G237" s="63" t="s">
        <v>3189</v>
      </c>
      <c r="H237" s="57" t="s">
        <v>2961</v>
      </c>
      <c r="I237" s="63"/>
      <c r="J237" s="57" t="s">
        <v>153</v>
      </c>
    </row>
    <row r="238" spans="1:10" x14ac:dyDescent="0.25">
      <c r="A238" s="57" t="s">
        <v>2801</v>
      </c>
      <c r="B238" s="68">
        <v>2</v>
      </c>
      <c r="C238" s="63" t="s">
        <v>2762</v>
      </c>
      <c r="D238" s="61" t="s">
        <v>3314</v>
      </c>
      <c r="E238" s="63"/>
      <c r="F238" s="63"/>
      <c r="G238" s="63" t="s">
        <v>3194</v>
      </c>
      <c r="H238" s="57" t="s">
        <v>2966</v>
      </c>
      <c r="I238" s="63"/>
      <c r="J238" s="57" t="s">
        <v>153</v>
      </c>
    </row>
    <row r="239" spans="1:10" x14ac:dyDescent="0.25">
      <c r="A239" s="57" t="s">
        <v>2801</v>
      </c>
      <c r="B239" s="68">
        <v>2</v>
      </c>
      <c r="C239" s="63" t="s">
        <v>2755</v>
      </c>
      <c r="D239" s="61" t="s">
        <v>275</v>
      </c>
      <c r="E239" s="63"/>
      <c r="F239" s="63"/>
      <c r="G239" s="63" t="s">
        <v>3187</v>
      </c>
      <c r="H239" s="57" t="s">
        <v>2959</v>
      </c>
      <c r="I239" s="63"/>
      <c r="J239" s="57" t="s">
        <v>91</v>
      </c>
    </row>
    <row r="240" spans="1:10" x14ac:dyDescent="0.25">
      <c r="A240" s="57" t="s">
        <v>2801</v>
      </c>
      <c r="B240" s="68">
        <v>7</v>
      </c>
      <c r="C240" s="63" t="s">
        <v>2758</v>
      </c>
      <c r="D240" s="69" t="s">
        <v>3315</v>
      </c>
      <c r="E240" s="63"/>
      <c r="F240" s="63"/>
      <c r="G240" s="63" t="s">
        <v>3190</v>
      </c>
      <c r="H240" s="57" t="s">
        <v>2962</v>
      </c>
      <c r="I240" s="63"/>
      <c r="J240" s="57" t="s">
        <v>92</v>
      </c>
    </row>
    <row r="241" spans="1:10" x14ac:dyDescent="0.25">
      <c r="A241" s="57" t="s">
        <v>2801</v>
      </c>
      <c r="B241" s="68">
        <v>7</v>
      </c>
      <c r="C241" s="63" t="s">
        <v>2763</v>
      </c>
      <c r="D241" s="69" t="s">
        <v>3316</v>
      </c>
      <c r="E241" s="63"/>
      <c r="F241" s="63"/>
      <c r="G241" s="63" t="s">
        <v>3195</v>
      </c>
      <c r="H241" s="57" t="s">
        <v>2967</v>
      </c>
      <c r="I241" s="63"/>
      <c r="J241" s="57" t="s">
        <v>92</v>
      </c>
    </row>
    <row r="242" spans="1:10" x14ac:dyDescent="0.25">
      <c r="A242" s="57" t="s">
        <v>2801</v>
      </c>
      <c r="B242" s="68">
        <v>8</v>
      </c>
      <c r="C242" s="63" t="s">
        <v>2760</v>
      </c>
      <c r="D242" s="57" t="s">
        <v>3317</v>
      </c>
      <c r="E242" s="63"/>
      <c r="F242" s="63"/>
      <c r="G242" s="63" t="s">
        <v>3192</v>
      </c>
      <c r="H242" s="57" t="s">
        <v>2964</v>
      </c>
      <c r="I242" s="63"/>
      <c r="J242" s="57" t="s">
        <v>3021</v>
      </c>
    </row>
    <row r="243" spans="1:10" x14ac:dyDescent="0.25">
      <c r="A243" s="57" t="s">
        <v>2801</v>
      </c>
      <c r="B243" s="68">
        <v>8</v>
      </c>
      <c r="C243" s="63" t="s">
        <v>2759</v>
      </c>
      <c r="D243" s="57" t="s">
        <v>3318</v>
      </c>
      <c r="E243" s="63"/>
      <c r="F243" s="63"/>
      <c r="G243" s="63" t="s">
        <v>3191</v>
      </c>
      <c r="H243" s="57" t="s">
        <v>2963</v>
      </c>
      <c r="I243" s="63"/>
      <c r="J243" s="57" t="s">
        <v>165</v>
      </c>
    </row>
    <row r="244" spans="1:10" x14ac:dyDescent="0.25">
      <c r="A244" s="57" t="s">
        <v>2801</v>
      </c>
      <c r="B244" s="68">
        <v>9</v>
      </c>
      <c r="C244" s="63" t="s">
        <v>2761</v>
      </c>
      <c r="D244" s="69" t="s">
        <v>3319</v>
      </c>
      <c r="E244" s="63"/>
      <c r="F244" s="63"/>
      <c r="G244" s="63" t="s">
        <v>3193</v>
      </c>
      <c r="H244" s="57" t="s">
        <v>2965</v>
      </c>
      <c r="I244" s="63"/>
      <c r="J244" s="57" t="s">
        <v>92</v>
      </c>
    </row>
    <row r="245" spans="1:10" x14ac:dyDescent="0.25">
      <c r="A245" s="57" t="s">
        <v>2801</v>
      </c>
      <c r="B245" s="68">
        <v>10</v>
      </c>
      <c r="C245" s="63" t="s">
        <v>2756</v>
      </c>
      <c r="D245" s="57" t="s">
        <v>1899</v>
      </c>
      <c r="E245" s="63"/>
      <c r="F245" s="63"/>
      <c r="G245" s="63" t="s">
        <v>3188</v>
      </c>
      <c r="H245" s="57" t="s">
        <v>2960</v>
      </c>
      <c r="I245" s="63"/>
      <c r="J245" s="57" t="s">
        <v>91</v>
      </c>
    </row>
    <row r="246" spans="1:10" x14ac:dyDescent="0.25">
      <c r="A246" s="61" t="s">
        <v>79</v>
      </c>
      <c r="B246" s="72">
        <v>-99</v>
      </c>
      <c r="C246" s="61" t="s">
        <v>93</v>
      </c>
      <c r="D246" s="61" t="s">
        <v>1927</v>
      </c>
      <c r="E246" s="73" t="s">
        <v>2187</v>
      </c>
      <c r="F246" s="74" t="s">
        <v>2139</v>
      </c>
      <c r="G246" s="61" t="s">
        <v>277</v>
      </c>
      <c r="H246" s="61" t="s">
        <v>278</v>
      </c>
      <c r="I246" s="61" t="s">
        <v>2320</v>
      </c>
      <c r="J246" s="61" t="s">
        <v>91</v>
      </c>
    </row>
    <row r="247" spans="1:10" x14ac:dyDescent="0.25">
      <c r="A247" s="61" t="s">
        <v>79</v>
      </c>
      <c r="B247" s="61"/>
      <c r="C247" s="61" t="s">
        <v>258</v>
      </c>
      <c r="D247" s="61" t="s">
        <v>2052</v>
      </c>
      <c r="E247" s="61" t="s">
        <v>2227</v>
      </c>
      <c r="F247" s="77" t="s">
        <v>1595</v>
      </c>
      <c r="G247" s="61" t="s">
        <v>465</v>
      </c>
      <c r="H247" s="61" t="s">
        <v>466</v>
      </c>
      <c r="I247" s="75" t="s">
        <v>2401</v>
      </c>
      <c r="J247" s="61" t="s">
        <v>100</v>
      </c>
    </row>
    <row r="248" spans="1:10" x14ac:dyDescent="0.25">
      <c r="A248" s="61" t="s">
        <v>79</v>
      </c>
      <c r="B248" s="61"/>
      <c r="C248" s="61" t="s">
        <v>116</v>
      </c>
      <c r="D248" s="61" t="s">
        <v>319</v>
      </c>
      <c r="E248" s="61" t="s">
        <v>2223</v>
      </c>
      <c r="F248" s="77" t="s">
        <v>1531</v>
      </c>
      <c r="G248" s="61" t="s">
        <v>318</v>
      </c>
      <c r="H248" s="61" t="s">
        <v>319</v>
      </c>
      <c r="I248" s="75" t="s">
        <v>2223</v>
      </c>
      <c r="J248" s="61" t="s">
        <v>100</v>
      </c>
    </row>
    <row r="249" spans="1:10" x14ac:dyDescent="0.25">
      <c r="A249" s="61" t="s">
        <v>2045</v>
      </c>
      <c r="B249" s="72">
        <v>-99</v>
      </c>
      <c r="C249" s="61" t="s">
        <v>93</v>
      </c>
      <c r="D249" s="61" t="s">
        <v>1891</v>
      </c>
      <c r="E249" s="73" t="s">
        <v>2187</v>
      </c>
      <c r="F249" s="74" t="s">
        <v>2139</v>
      </c>
      <c r="G249" s="61" t="s">
        <v>277</v>
      </c>
      <c r="H249" s="61" t="s">
        <v>278</v>
      </c>
      <c r="I249" s="75" t="s">
        <v>2320</v>
      </c>
      <c r="J249" s="61" t="s">
        <v>91</v>
      </c>
    </row>
    <row r="250" spans="1:10" x14ac:dyDescent="0.25">
      <c r="A250" s="61" t="s">
        <v>2045</v>
      </c>
      <c r="B250" s="68">
        <v>1</v>
      </c>
      <c r="C250" s="61" t="s">
        <v>125</v>
      </c>
      <c r="D250" s="61" t="s">
        <v>1954</v>
      </c>
      <c r="E250" s="61" t="s">
        <v>2184</v>
      </c>
      <c r="F250" s="61"/>
      <c r="G250" s="61" t="s">
        <v>336</v>
      </c>
      <c r="H250" s="61" t="s">
        <v>2094</v>
      </c>
      <c r="I250" s="75" t="s">
        <v>2458</v>
      </c>
      <c r="J250" s="61" t="s">
        <v>100</v>
      </c>
    </row>
    <row r="251" spans="1:10" x14ac:dyDescent="0.25">
      <c r="A251" s="61" t="s">
        <v>2045</v>
      </c>
      <c r="B251" s="68">
        <v>2</v>
      </c>
      <c r="C251" s="63" t="s">
        <v>2749</v>
      </c>
      <c r="D251" s="62" t="s">
        <v>2063</v>
      </c>
      <c r="E251" s="62" t="s">
        <v>2182</v>
      </c>
      <c r="F251" s="63"/>
      <c r="G251" s="63" t="s">
        <v>2095</v>
      </c>
      <c r="H251" s="57" t="s">
        <v>2093</v>
      </c>
      <c r="I251" s="63"/>
      <c r="J251" s="57" t="s">
        <v>153</v>
      </c>
    </row>
    <row r="252" spans="1:10" x14ac:dyDescent="0.25">
      <c r="A252" s="61" t="s">
        <v>2045</v>
      </c>
      <c r="B252" s="68">
        <v>2</v>
      </c>
      <c r="C252" s="61" t="s">
        <v>2016</v>
      </c>
      <c r="D252" s="62" t="s">
        <v>2063</v>
      </c>
      <c r="E252" s="62" t="s">
        <v>2182</v>
      </c>
      <c r="F252" s="61"/>
      <c r="G252" s="61" t="s">
        <v>2095</v>
      </c>
      <c r="H252" s="61" t="s">
        <v>2093</v>
      </c>
      <c r="I252" s="75" t="s">
        <v>2459</v>
      </c>
      <c r="J252" s="61" t="s">
        <v>153</v>
      </c>
    </row>
    <row r="253" spans="1:10" x14ac:dyDescent="0.25">
      <c r="A253" s="61" t="s">
        <v>2045</v>
      </c>
      <c r="B253" s="68">
        <v>4</v>
      </c>
      <c r="C253" s="61" t="s">
        <v>2022</v>
      </c>
      <c r="D253" s="61" t="s">
        <v>2023</v>
      </c>
      <c r="E253" s="61" t="s">
        <v>2292</v>
      </c>
      <c r="F253" s="61"/>
      <c r="G253" s="61" t="s">
        <v>2097</v>
      </c>
      <c r="H253" s="61" t="s">
        <v>2096</v>
      </c>
      <c r="I253" s="75" t="s">
        <v>2460</v>
      </c>
      <c r="J253" s="23" t="s">
        <v>92</v>
      </c>
    </row>
    <row r="254" spans="1:10" x14ac:dyDescent="0.25">
      <c r="A254" s="61" t="s">
        <v>2045</v>
      </c>
      <c r="B254" s="68">
        <v>5</v>
      </c>
      <c r="C254" s="61" t="s">
        <v>2018</v>
      </c>
      <c r="D254" s="61" t="s">
        <v>1956</v>
      </c>
      <c r="E254" s="61" t="s">
        <v>2276</v>
      </c>
      <c r="F254" s="61"/>
      <c r="G254" s="61" t="s">
        <v>2100</v>
      </c>
      <c r="H254" s="61" t="s">
        <v>2098</v>
      </c>
      <c r="I254" s="75" t="s">
        <v>2461</v>
      </c>
      <c r="J254" s="61" t="s">
        <v>92</v>
      </c>
    </row>
    <row r="255" spans="1:10" x14ac:dyDescent="0.25">
      <c r="A255" s="61" t="s">
        <v>2045</v>
      </c>
      <c r="B255" s="68">
        <v>6</v>
      </c>
      <c r="C255" s="61" t="s">
        <v>2019</v>
      </c>
      <c r="D255" s="61" t="s">
        <v>1889</v>
      </c>
      <c r="E255" s="61" t="s">
        <v>2218</v>
      </c>
      <c r="F255" s="61"/>
      <c r="G255" s="61" t="s">
        <v>2101</v>
      </c>
      <c r="H255" s="61" t="s">
        <v>2099</v>
      </c>
      <c r="I255" s="75" t="s">
        <v>2462</v>
      </c>
      <c r="J255" s="61" t="s">
        <v>156</v>
      </c>
    </row>
    <row r="256" spans="1:10" x14ac:dyDescent="0.25">
      <c r="A256" s="61" t="s">
        <v>2045</v>
      </c>
      <c r="B256" s="68">
        <v>7</v>
      </c>
      <c r="C256" s="63" t="s">
        <v>2750</v>
      </c>
      <c r="D256" s="57" t="s">
        <v>3388</v>
      </c>
      <c r="E256" s="63"/>
      <c r="F256" s="63"/>
      <c r="G256" s="63" t="s">
        <v>3179</v>
      </c>
      <c r="H256" s="57" t="s">
        <v>2954</v>
      </c>
      <c r="I256" s="63"/>
      <c r="J256" s="57" t="s">
        <v>195</v>
      </c>
    </row>
    <row r="257" spans="1:10" x14ac:dyDescent="0.25">
      <c r="A257" s="61" t="s">
        <v>2045</v>
      </c>
      <c r="B257" s="68">
        <v>8</v>
      </c>
      <c r="C257" s="61" t="s">
        <v>2020</v>
      </c>
      <c r="D257" s="61" t="s">
        <v>2021</v>
      </c>
      <c r="E257" s="61" t="s">
        <v>2282</v>
      </c>
      <c r="F257" s="61"/>
      <c r="G257" s="61" t="s">
        <v>2104</v>
      </c>
      <c r="H257" s="61" t="s">
        <v>2102</v>
      </c>
      <c r="I257" s="75" t="s">
        <v>2486</v>
      </c>
      <c r="J257" s="61" t="s">
        <v>262</v>
      </c>
    </row>
    <row r="258" spans="1:10" x14ac:dyDescent="0.25">
      <c r="A258" s="61" t="s">
        <v>2045</v>
      </c>
      <c r="B258" s="68">
        <v>8</v>
      </c>
      <c r="C258" s="61" t="s">
        <v>2024</v>
      </c>
      <c r="D258" s="61" t="s">
        <v>2025</v>
      </c>
      <c r="E258" s="61" t="s">
        <v>2281</v>
      </c>
      <c r="F258" s="61"/>
      <c r="G258" s="61" t="s">
        <v>2105</v>
      </c>
      <c r="H258" s="61" t="s">
        <v>2103</v>
      </c>
      <c r="I258" s="75" t="s">
        <v>2463</v>
      </c>
      <c r="J258" s="61" t="s">
        <v>262</v>
      </c>
    </row>
    <row r="259" spans="1:10" x14ac:dyDescent="0.25">
      <c r="A259" s="61" t="s">
        <v>2045</v>
      </c>
      <c r="B259" s="68">
        <v>8</v>
      </c>
      <c r="C259" s="63" t="s">
        <v>2751</v>
      </c>
      <c r="D259" s="57" t="s">
        <v>3387</v>
      </c>
      <c r="E259" s="63"/>
      <c r="F259" s="63"/>
      <c r="G259" s="63" t="s">
        <v>3180</v>
      </c>
      <c r="H259" s="57" t="s">
        <v>2955</v>
      </c>
      <c r="I259" s="63"/>
      <c r="J259" s="57" t="s">
        <v>195</v>
      </c>
    </row>
    <row r="260" spans="1:10" x14ac:dyDescent="0.25">
      <c r="A260" s="61" t="s">
        <v>2045</v>
      </c>
      <c r="B260" s="68">
        <v>9</v>
      </c>
      <c r="C260" s="63" t="s">
        <v>2752</v>
      </c>
      <c r="D260" s="57" t="s">
        <v>3386</v>
      </c>
      <c r="E260" s="63"/>
      <c r="F260" s="63"/>
      <c r="G260" s="63" t="s">
        <v>3181</v>
      </c>
      <c r="H260" s="57" t="s">
        <v>2956</v>
      </c>
      <c r="I260" s="63"/>
      <c r="J260" s="57" t="s">
        <v>195</v>
      </c>
    </row>
    <row r="261" spans="1:10" x14ac:dyDescent="0.25">
      <c r="A261" s="61" t="s">
        <v>2045</v>
      </c>
      <c r="B261" s="68">
        <v>10</v>
      </c>
      <c r="C261" s="63" t="s">
        <v>2753</v>
      </c>
      <c r="D261" s="57" t="s">
        <v>3385</v>
      </c>
      <c r="E261" s="63"/>
      <c r="F261" s="63"/>
      <c r="G261" s="63" t="s">
        <v>3182</v>
      </c>
      <c r="H261" s="57" t="s">
        <v>2957</v>
      </c>
      <c r="I261" s="63"/>
      <c r="J261" s="57" t="s">
        <v>195</v>
      </c>
    </row>
    <row r="262" spans="1:10" x14ac:dyDescent="0.25">
      <c r="A262" s="61" t="s">
        <v>2045</v>
      </c>
      <c r="B262" s="68">
        <v>11</v>
      </c>
      <c r="C262" s="61" t="s">
        <v>2026</v>
      </c>
      <c r="D262" s="61" t="s">
        <v>2030</v>
      </c>
      <c r="E262" s="61" t="s">
        <v>2280</v>
      </c>
      <c r="F262" s="61"/>
      <c r="G262" s="63" t="s">
        <v>3183</v>
      </c>
      <c r="H262" s="61" t="s">
        <v>2106</v>
      </c>
      <c r="I262" s="75" t="s">
        <v>2464</v>
      </c>
      <c r="J262" s="61" t="s">
        <v>195</v>
      </c>
    </row>
    <row r="263" spans="1:10" x14ac:dyDescent="0.25">
      <c r="A263" s="61" t="s">
        <v>2045</v>
      </c>
      <c r="B263" s="68">
        <v>12</v>
      </c>
      <c r="C263" s="61" t="s">
        <v>2027</v>
      </c>
      <c r="D263" s="61" t="s">
        <v>2032</v>
      </c>
      <c r="E263" s="61" t="s">
        <v>2279</v>
      </c>
      <c r="F263" s="61"/>
      <c r="G263" s="63" t="s">
        <v>3184</v>
      </c>
      <c r="H263" s="61" t="s">
        <v>2107</v>
      </c>
      <c r="I263" s="75" t="s">
        <v>2465</v>
      </c>
      <c r="J263" s="61" t="s">
        <v>195</v>
      </c>
    </row>
    <row r="264" spans="1:10" x14ac:dyDescent="0.25">
      <c r="A264" s="61" t="s">
        <v>2045</v>
      </c>
      <c r="B264" s="68">
        <v>13</v>
      </c>
      <c r="C264" s="61" t="s">
        <v>2028</v>
      </c>
      <c r="D264" s="61" t="s">
        <v>2033</v>
      </c>
      <c r="E264" s="61" t="s">
        <v>2278</v>
      </c>
      <c r="F264" s="61"/>
      <c r="G264" s="63" t="s">
        <v>3185</v>
      </c>
      <c r="H264" s="61" t="s">
        <v>2108</v>
      </c>
      <c r="I264" s="75" t="s">
        <v>2466</v>
      </c>
      <c r="J264" s="61" t="s">
        <v>195</v>
      </c>
    </row>
    <row r="265" spans="1:10" x14ac:dyDescent="0.25">
      <c r="A265" s="61" t="s">
        <v>2045</v>
      </c>
      <c r="B265" s="68">
        <v>14</v>
      </c>
      <c r="C265" s="63" t="s">
        <v>2754</v>
      </c>
      <c r="D265" s="57" t="s">
        <v>3384</v>
      </c>
      <c r="E265" s="63"/>
      <c r="F265" s="63"/>
      <c r="G265" s="63" t="s">
        <v>3186</v>
      </c>
      <c r="H265" s="57" t="s">
        <v>2958</v>
      </c>
      <c r="I265" s="63"/>
      <c r="J265" s="57" t="s">
        <v>195</v>
      </c>
    </row>
    <row r="266" spans="1:10" x14ac:dyDescent="0.25">
      <c r="A266" s="61" t="s">
        <v>2045</v>
      </c>
      <c r="B266" s="68">
        <v>15</v>
      </c>
      <c r="C266" s="61" t="s">
        <v>2029</v>
      </c>
      <c r="D266" s="61" t="s">
        <v>2031</v>
      </c>
      <c r="E266" s="61" t="s">
        <v>2277</v>
      </c>
      <c r="F266" s="61"/>
      <c r="G266" s="61" t="s">
        <v>2110</v>
      </c>
      <c r="H266" s="61" t="s">
        <v>2109</v>
      </c>
      <c r="I266" s="75" t="s">
        <v>2467</v>
      </c>
      <c r="J266" s="61" t="s">
        <v>100</v>
      </c>
    </row>
    <row r="267" spans="1:10" x14ac:dyDescent="0.25">
      <c r="A267" s="61" t="s">
        <v>2046</v>
      </c>
      <c r="B267" s="72">
        <v>-99</v>
      </c>
      <c r="C267" s="61" t="s">
        <v>93</v>
      </c>
      <c r="D267" s="61" t="s">
        <v>1927</v>
      </c>
      <c r="E267" s="73" t="s">
        <v>2187</v>
      </c>
      <c r="F267" s="74" t="s">
        <v>2139</v>
      </c>
      <c r="G267" s="61" t="s">
        <v>277</v>
      </c>
      <c r="H267" s="61" t="s">
        <v>278</v>
      </c>
      <c r="I267" s="75" t="s">
        <v>2320</v>
      </c>
      <c r="J267" s="61" t="s">
        <v>91</v>
      </c>
    </row>
    <row r="268" spans="1:10" x14ac:dyDescent="0.25">
      <c r="A268" s="61" t="s">
        <v>2046</v>
      </c>
      <c r="B268" s="68">
        <v>1</v>
      </c>
      <c r="C268" s="61" t="s">
        <v>125</v>
      </c>
      <c r="D268" s="61" t="s">
        <v>1926</v>
      </c>
      <c r="E268" s="61" t="s">
        <v>2155</v>
      </c>
      <c r="F268" s="61"/>
      <c r="G268" s="61" t="s">
        <v>336</v>
      </c>
      <c r="H268" s="61" t="s">
        <v>337</v>
      </c>
      <c r="I268" s="75" t="s">
        <v>2343</v>
      </c>
      <c r="J268" s="61" t="s">
        <v>100</v>
      </c>
    </row>
    <row r="269" spans="1:10" x14ac:dyDescent="0.25">
      <c r="A269" s="61" t="s">
        <v>2046</v>
      </c>
      <c r="B269" s="68">
        <v>2</v>
      </c>
      <c r="C269" s="61" t="s">
        <v>2013</v>
      </c>
      <c r="D269" s="61" t="s">
        <v>275</v>
      </c>
      <c r="E269" s="61" t="s">
        <v>2183</v>
      </c>
      <c r="F269" s="61"/>
      <c r="G269" s="61" t="s">
        <v>2087</v>
      </c>
      <c r="H269" s="61" t="s">
        <v>2090</v>
      </c>
      <c r="I269" s="75" t="s">
        <v>2456</v>
      </c>
      <c r="J269" s="61" t="s">
        <v>91</v>
      </c>
    </row>
    <row r="270" spans="1:10" x14ac:dyDescent="0.25">
      <c r="A270" s="61" t="s">
        <v>2046</v>
      </c>
      <c r="B270" s="68">
        <v>3</v>
      </c>
      <c r="C270" s="61" t="s">
        <v>2012</v>
      </c>
      <c r="D270" s="61" t="s">
        <v>1899</v>
      </c>
      <c r="E270" s="61" t="s">
        <v>2181</v>
      </c>
      <c r="F270" s="61"/>
      <c r="G270" s="61" t="s">
        <v>2088</v>
      </c>
      <c r="H270" s="61" t="s">
        <v>2091</v>
      </c>
      <c r="I270" s="75" t="s">
        <v>2457</v>
      </c>
      <c r="J270" s="61" t="s">
        <v>91</v>
      </c>
    </row>
    <row r="271" spans="1:10" x14ac:dyDescent="0.25">
      <c r="A271" s="61" t="s">
        <v>2046</v>
      </c>
      <c r="B271" s="68">
        <v>8</v>
      </c>
      <c r="C271" s="61" t="s">
        <v>2014</v>
      </c>
      <c r="D271" s="61" t="s">
        <v>2015</v>
      </c>
      <c r="E271" s="61" t="s">
        <v>2283</v>
      </c>
      <c r="F271" s="61"/>
      <c r="G271" s="61" t="s">
        <v>2089</v>
      </c>
      <c r="H271" s="61" t="s">
        <v>2092</v>
      </c>
      <c r="I271" s="75" t="s">
        <v>2485</v>
      </c>
      <c r="J271" s="61" t="s">
        <v>262</v>
      </c>
    </row>
    <row r="272" spans="1:10" x14ac:dyDescent="0.25">
      <c r="A272" s="61" t="s">
        <v>49</v>
      </c>
      <c r="B272" s="72">
        <v>-99</v>
      </c>
      <c r="C272" s="61" t="s">
        <v>93</v>
      </c>
      <c r="D272" s="61" t="s">
        <v>1927</v>
      </c>
      <c r="E272" s="73" t="s">
        <v>2187</v>
      </c>
      <c r="F272" s="74" t="s">
        <v>2139</v>
      </c>
      <c r="G272" s="61" t="s">
        <v>277</v>
      </c>
      <c r="H272" s="61" t="s">
        <v>278</v>
      </c>
      <c r="I272" s="61" t="s">
        <v>2320</v>
      </c>
      <c r="J272" s="61" t="s">
        <v>91</v>
      </c>
    </row>
    <row r="273" spans="1:10" x14ac:dyDescent="0.25">
      <c r="A273" s="61" t="s">
        <v>49</v>
      </c>
      <c r="B273" s="61"/>
      <c r="C273" s="61" t="s">
        <v>101</v>
      </c>
      <c r="D273" s="61" t="s">
        <v>1926</v>
      </c>
      <c r="E273" s="61" t="s">
        <v>2155</v>
      </c>
      <c r="F273" s="77" t="s">
        <v>1517</v>
      </c>
      <c r="G273" s="61" t="s">
        <v>291</v>
      </c>
      <c r="H273" s="61" t="s">
        <v>292</v>
      </c>
      <c r="I273" s="61" t="s">
        <v>2331</v>
      </c>
      <c r="J273" s="61" t="s">
        <v>100</v>
      </c>
    </row>
    <row r="274" spans="1:10" x14ac:dyDescent="0.25">
      <c r="A274" s="61" t="s">
        <v>49</v>
      </c>
      <c r="B274" s="61"/>
      <c r="C274" s="61" t="s">
        <v>103</v>
      </c>
      <c r="D274" s="61" t="s">
        <v>1923</v>
      </c>
      <c r="E274" s="61" t="s">
        <v>2156</v>
      </c>
      <c r="F274" s="77" t="s">
        <v>1519</v>
      </c>
      <c r="G274" s="61" t="s">
        <v>295</v>
      </c>
      <c r="H274" s="61" t="s">
        <v>296</v>
      </c>
      <c r="I274" s="61" t="s">
        <v>2489</v>
      </c>
      <c r="J274" s="61" t="s">
        <v>91</v>
      </c>
    </row>
    <row r="275" spans="1:10" x14ac:dyDescent="0.25">
      <c r="A275" s="61" t="s">
        <v>49</v>
      </c>
      <c r="B275" s="61"/>
      <c r="C275" s="61" t="s">
        <v>102</v>
      </c>
      <c r="D275" s="61" t="s">
        <v>1922</v>
      </c>
      <c r="E275" s="61" t="s">
        <v>2160</v>
      </c>
      <c r="F275" s="77" t="s">
        <v>1518</v>
      </c>
      <c r="G275" s="61" t="s">
        <v>293</v>
      </c>
      <c r="H275" s="61" t="s">
        <v>294</v>
      </c>
      <c r="I275" s="61" t="s">
        <v>2488</v>
      </c>
      <c r="J275" s="61" t="s">
        <v>91</v>
      </c>
    </row>
    <row r="276" spans="1:10" x14ac:dyDescent="0.25">
      <c r="A276" s="61" t="s">
        <v>49</v>
      </c>
      <c r="B276" s="61"/>
      <c r="C276" s="61" t="s">
        <v>104</v>
      </c>
      <c r="D276" s="61" t="s">
        <v>1924</v>
      </c>
      <c r="E276" s="61" t="s">
        <v>2161</v>
      </c>
      <c r="F276" s="77" t="s">
        <v>1520</v>
      </c>
      <c r="G276" s="61" t="s">
        <v>297</v>
      </c>
      <c r="H276" s="61" t="s">
        <v>298</v>
      </c>
      <c r="I276" s="61" t="s">
        <v>2490</v>
      </c>
      <c r="J276" s="61" t="s">
        <v>91</v>
      </c>
    </row>
    <row r="277" spans="1:10" x14ac:dyDescent="0.25">
      <c r="A277" s="61" t="s">
        <v>49</v>
      </c>
      <c r="B277" s="61"/>
      <c r="C277" s="61" t="s">
        <v>105</v>
      </c>
      <c r="D277" s="61" t="s">
        <v>1925</v>
      </c>
      <c r="E277" s="61" t="s">
        <v>2188</v>
      </c>
      <c r="F277" s="77" t="s">
        <v>1521</v>
      </c>
      <c r="G277" s="61" t="s">
        <v>299</v>
      </c>
      <c r="H277" s="61" t="s">
        <v>300</v>
      </c>
      <c r="I277" s="61" t="s">
        <v>2491</v>
      </c>
      <c r="J277" s="61" t="s">
        <v>92</v>
      </c>
    </row>
    <row r="278" spans="1:10" x14ac:dyDescent="0.25">
      <c r="A278" s="61" t="s">
        <v>60</v>
      </c>
      <c r="B278" s="72">
        <v>-99</v>
      </c>
      <c r="C278" s="61" t="s">
        <v>93</v>
      </c>
      <c r="D278" s="63" t="s">
        <v>1927</v>
      </c>
      <c r="E278" s="73" t="s">
        <v>2187</v>
      </c>
      <c r="F278" s="74" t="s">
        <v>2139</v>
      </c>
      <c r="G278" s="61" t="s">
        <v>277</v>
      </c>
      <c r="H278" s="61" t="s">
        <v>278</v>
      </c>
      <c r="I278" s="61" t="s">
        <v>2320</v>
      </c>
      <c r="J278" s="61" t="s">
        <v>91</v>
      </c>
    </row>
    <row r="279" spans="1:10" x14ac:dyDescent="0.25">
      <c r="A279" s="61" t="s">
        <v>60</v>
      </c>
      <c r="B279" s="68">
        <v>1</v>
      </c>
      <c r="C279" s="61" t="s">
        <v>122</v>
      </c>
      <c r="D279" s="64" t="s">
        <v>1926</v>
      </c>
      <c r="E279" s="61" t="s">
        <v>2155</v>
      </c>
      <c r="F279" s="77" t="s">
        <v>1659</v>
      </c>
      <c r="G279" s="61" t="s">
        <v>330</v>
      </c>
      <c r="H279" s="61" t="s">
        <v>331</v>
      </c>
      <c r="I279" s="75" t="s">
        <v>2340</v>
      </c>
      <c r="J279" s="61" t="s">
        <v>100</v>
      </c>
    </row>
    <row r="280" spans="1:10" x14ac:dyDescent="0.25">
      <c r="A280" s="61" t="s">
        <v>60</v>
      </c>
      <c r="B280" s="68">
        <v>2</v>
      </c>
      <c r="C280" s="61" t="s">
        <v>166</v>
      </c>
      <c r="D280" s="63" t="s">
        <v>3322</v>
      </c>
      <c r="E280" s="61"/>
      <c r="F280" s="77" t="s">
        <v>1569</v>
      </c>
      <c r="G280" s="61" t="s">
        <v>399</v>
      </c>
      <c r="H280" s="61" t="s">
        <v>400</v>
      </c>
      <c r="I280" s="75" t="s">
        <v>2368</v>
      </c>
      <c r="J280" s="61" t="s">
        <v>153</v>
      </c>
    </row>
    <row r="281" spans="1:10" x14ac:dyDescent="0.25">
      <c r="A281" s="57" t="s">
        <v>60</v>
      </c>
      <c r="B281" s="68">
        <v>2</v>
      </c>
      <c r="C281" s="63" t="s">
        <v>2697</v>
      </c>
      <c r="D281" s="63" t="s">
        <v>3324</v>
      </c>
      <c r="F281" s="63"/>
      <c r="G281" s="63" t="s">
        <v>3123</v>
      </c>
      <c r="H281" s="57" t="s">
        <v>2901</v>
      </c>
      <c r="I281" s="63"/>
      <c r="J281" s="57" t="s">
        <v>153</v>
      </c>
    </row>
    <row r="282" spans="1:10" x14ac:dyDescent="0.25">
      <c r="A282" s="57" t="s">
        <v>60</v>
      </c>
      <c r="B282" s="68">
        <v>2</v>
      </c>
      <c r="C282" s="63" t="s">
        <v>2698</v>
      </c>
      <c r="D282" s="57" t="s">
        <v>3325</v>
      </c>
      <c r="E282" s="63"/>
      <c r="F282" s="63"/>
      <c r="G282" s="63" t="s">
        <v>3124</v>
      </c>
      <c r="H282" s="57" t="s">
        <v>2902</v>
      </c>
      <c r="I282" s="63"/>
      <c r="J282" s="57" t="s">
        <v>91</v>
      </c>
    </row>
    <row r="283" spans="1:10" x14ac:dyDescent="0.25">
      <c r="A283" s="61" t="s">
        <v>60</v>
      </c>
      <c r="B283" s="68">
        <v>2</v>
      </c>
      <c r="C283" s="61" t="s">
        <v>167</v>
      </c>
      <c r="D283" s="63" t="s">
        <v>275</v>
      </c>
      <c r="E283" s="61" t="s">
        <v>2183</v>
      </c>
      <c r="F283" s="77" t="s">
        <v>1570</v>
      </c>
      <c r="G283" s="61" t="s">
        <v>401</v>
      </c>
      <c r="H283" s="61" t="s">
        <v>402</v>
      </c>
      <c r="I283" s="75" t="s">
        <v>2369</v>
      </c>
      <c r="J283" s="61" t="s">
        <v>91</v>
      </c>
    </row>
    <row r="284" spans="1:10" x14ac:dyDescent="0.25">
      <c r="A284" s="57" t="s">
        <v>60</v>
      </c>
      <c r="B284" s="68">
        <v>6</v>
      </c>
      <c r="C284" s="63" t="s">
        <v>2699</v>
      </c>
      <c r="D284" s="63" t="s">
        <v>3323</v>
      </c>
      <c r="E284" s="63"/>
      <c r="F284" s="63"/>
      <c r="G284" s="63" t="s">
        <v>3125</v>
      </c>
      <c r="H284" s="57" t="s">
        <v>2903</v>
      </c>
      <c r="I284" s="63"/>
      <c r="J284" s="57" t="s">
        <v>153</v>
      </c>
    </row>
    <row r="285" spans="1:10" x14ac:dyDescent="0.25">
      <c r="A285" s="61" t="s">
        <v>60</v>
      </c>
      <c r="B285" s="68">
        <v>7</v>
      </c>
      <c r="C285" s="61" t="s">
        <v>168</v>
      </c>
      <c r="D285" s="63" t="s">
        <v>3327</v>
      </c>
      <c r="E285" s="61" t="s">
        <v>2208</v>
      </c>
      <c r="F285" s="77" t="s">
        <v>1571</v>
      </c>
      <c r="G285" s="61" t="s">
        <v>403</v>
      </c>
      <c r="H285" s="61" t="s">
        <v>404</v>
      </c>
      <c r="I285" s="75" t="s">
        <v>2370</v>
      </c>
      <c r="J285" s="61" t="s">
        <v>163</v>
      </c>
    </row>
    <row r="286" spans="1:10" x14ac:dyDescent="0.25">
      <c r="A286" s="57" t="s">
        <v>60</v>
      </c>
      <c r="B286" s="68">
        <v>8</v>
      </c>
      <c r="C286" s="63" t="s">
        <v>2700</v>
      </c>
      <c r="D286" s="57" t="s">
        <v>3326</v>
      </c>
      <c r="E286" s="63"/>
      <c r="F286" s="63"/>
      <c r="G286" s="63" t="s">
        <v>3126</v>
      </c>
      <c r="H286" s="57" t="s">
        <v>2904</v>
      </c>
      <c r="I286" s="63"/>
      <c r="J286" s="57" t="s">
        <v>163</v>
      </c>
    </row>
    <row r="287" spans="1:10" x14ac:dyDescent="0.25">
      <c r="A287" s="61" t="s">
        <v>60</v>
      </c>
      <c r="B287" s="68">
        <v>9</v>
      </c>
      <c r="C287" s="61" t="s">
        <v>169</v>
      </c>
      <c r="D287" s="64" t="s">
        <v>3328</v>
      </c>
      <c r="E287" s="61" t="s">
        <v>2209</v>
      </c>
      <c r="F287" s="77" t="s">
        <v>1572</v>
      </c>
      <c r="G287" s="61" t="s">
        <v>405</v>
      </c>
      <c r="H287" s="61" t="s">
        <v>406</v>
      </c>
      <c r="I287" s="75" t="s">
        <v>2371</v>
      </c>
      <c r="J287" s="61" t="s">
        <v>92</v>
      </c>
    </row>
    <row r="288" spans="1:10" x14ac:dyDescent="0.25">
      <c r="A288" s="61" t="s">
        <v>60</v>
      </c>
      <c r="B288" s="68">
        <v>10</v>
      </c>
      <c r="C288" s="61" t="s">
        <v>170</v>
      </c>
      <c r="D288" s="64" t="s">
        <v>3329</v>
      </c>
      <c r="E288" s="62" t="s">
        <v>2296</v>
      </c>
      <c r="F288" s="77" t="s">
        <v>1573</v>
      </c>
      <c r="G288" s="61" t="s">
        <v>407</v>
      </c>
      <c r="H288" s="61" t="s">
        <v>408</v>
      </c>
      <c r="I288" s="75" t="s">
        <v>2295</v>
      </c>
      <c r="J288" s="61" t="s">
        <v>92</v>
      </c>
    </row>
    <row r="289" spans="1:10" x14ac:dyDescent="0.25">
      <c r="A289" s="57" t="s">
        <v>60</v>
      </c>
      <c r="B289" s="68">
        <v>11</v>
      </c>
      <c r="C289" s="63" t="s">
        <v>2702</v>
      </c>
      <c r="D289" s="57" t="s">
        <v>3330</v>
      </c>
      <c r="E289" s="63"/>
      <c r="F289" s="63"/>
      <c r="G289" s="63" t="s">
        <v>3128</v>
      </c>
      <c r="H289" s="57" t="s">
        <v>2906</v>
      </c>
      <c r="I289" s="63"/>
      <c r="J289" s="57" t="s">
        <v>156</v>
      </c>
    </row>
    <row r="290" spans="1:10" x14ac:dyDescent="0.25">
      <c r="A290" s="61" t="s">
        <v>60</v>
      </c>
      <c r="B290" s="68">
        <v>11</v>
      </c>
      <c r="C290" s="61" t="s">
        <v>171</v>
      </c>
      <c r="D290" s="63" t="s">
        <v>1896</v>
      </c>
      <c r="E290" s="61" t="s">
        <v>2210</v>
      </c>
      <c r="F290" s="77" t="s">
        <v>1574</v>
      </c>
      <c r="G290" s="61" t="s">
        <v>409</v>
      </c>
      <c r="H290" s="61" t="s">
        <v>410</v>
      </c>
      <c r="I290" s="75" t="s">
        <v>2372</v>
      </c>
      <c r="J290" s="61" t="s">
        <v>156</v>
      </c>
    </row>
    <row r="291" spans="1:10" x14ac:dyDescent="0.25">
      <c r="A291" s="61" t="s">
        <v>60</v>
      </c>
      <c r="B291" s="68">
        <v>12</v>
      </c>
      <c r="C291" s="61" t="s">
        <v>172</v>
      </c>
      <c r="D291" s="63" t="s">
        <v>1897</v>
      </c>
      <c r="E291" s="61" t="s">
        <v>2211</v>
      </c>
      <c r="F291" s="77" t="s">
        <v>1575</v>
      </c>
      <c r="G291" s="61" t="s">
        <v>411</v>
      </c>
      <c r="H291" s="61" t="s">
        <v>412</v>
      </c>
      <c r="I291" s="75" t="s">
        <v>2373</v>
      </c>
      <c r="J291" s="61" t="s">
        <v>164</v>
      </c>
    </row>
    <row r="292" spans="1:10" x14ac:dyDescent="0.25">
      <c r="A292" s="57" t="s">
        <v>60</v>
      </c>
      <c r="B292" s="68">
        <v>13</v>
      </c>
      <c r="C292" s="63" t="s">
        <v>2703</v>
      </c>
      <c r="D292" s="57" t="s">
        <v>3331</v>
      </c>
      <c r="E292" s="63"/>
      <c r="F292" s="63"/>
      <c r="G292" s="63" t="s">
        <v>3129</v>
      </c>
      <c r="H292" s="57" t="s">
        <v>2907</v>
      </c>
      <c r="I292" s="63"/>
      <c r="J292" s="57" t="s">
        <v>100</v>
      </c>
    </row>
    <row r="293" spans="1:10" x14ac:dyDescent="0.25">
      <c r="A293" s="61" t="s">
        <v>60</v>
      </c>
      <c r="B293" s="68">
        <v>14</v>
      </c>
      <c r="C293" s="61" t="s">
        <v>173</v>
      </c>
      <c r="D293" s="63" t="s">
        <v>1898</v>
      </c>
      <c r="E293" s="62" t="s">
        <v>2212</v>
      </c>
      <c r="F293" s="77" t="s">
        <v>1576</v>
      </c>
      <c r="G293" s="61" t="s">
        <v>413</v>
      </c>
      <c r="H293" s="61" t="s">
        <v>414</v>
      </c>
      <c r="I293" s="75" t="s">
        <v>2374</v>
      </c>
      <c r="J293" s="61" t="s">
        <v>165</v>
      </c>
    </row>
    <row r="294" spans="1:10" x14ac:dyDescent="0.25">
      <c r="A294" s="57" t="s">
        <v>60</v>
      </c>
      <c r="B294" s="68">
        <v>21</v>
      </c>
      <c r="C294" s="63" t="s">
        <v>2704</v>
      </c>
      <c r="D294" s="57" t="s">
        <v>3332</v>
      </c>
      <c r="E294" s="63"/>
      <c r="F294" s="63"/>
      <c r="G294" s="63" t="s">
        <v>3130</v>
      </c>
      <c r="H294" s="57" t="s">
        <v>2908</v>
      </c>
      <c r="I294" s="63"/>
      <c r="J294" s="57" t="s">
        <v>262</v>
      </c>
    </row>
    <row r="295" spans="1:10" x14ac:dyDescent="0.25">
      <c r="A295" s="57" t="s">
        <v>60</v>
      </c>
      <c r="B295" s="60">
        <v>22</v>
      </c>
      <c r="C295" s="63" t="s">
        <v>2705</v>
      </c>
      <c r="D295" s="57" t="s">
        <v>3333</v>
      </c>
      <c r="E295" s="63"/>
      <c r="F295" s="63"/>
      <c r="G295" s="63" t="s">
        <v>3131</v>
      </c>
      <c r="H295" s="57" t="s">
        <v>2909</v>
      </c>
      <c r="I295" s="63"/>
      <c r="J295" s="57" t="s">
        <v>3005</v>
      </c>
    </row>
    <row r="296" spans="1:10" x14ac:dyDescent="0.25">
      <c r="A296" s="57" t="s">
        <v>60</v>
      </c>
      <c r="B296" s="68">
        <v>23</v>
      </c>
      <c r="C296" s="63" t="s">
        <v>2706</v>
      </c>
      <c r="D296" s="57" t="s">
        <v>3336</v>
      </c>
      <c r="E296" s="63"/>
      <c r="F296" s="63"/>
      <c r="G296" s="63" t="s">
        <v>3132</v>
      </c>
      <c r="H296" s="57" t="s">
        <v>2910</v>
      </c>
      <c r="I296" s="63"/>
      <c r="J296" s="57" t="s">
        <v>3005</v>
      </c>
    </row>
    <row r="297" spans="1:10" x14ac:dyDescent="0.25">
      <c r="A297" s="57" t="s">
        <v>60</v>
      </c>
      <c r="B297" s="68">
        <v>24</v>
      </c>
      <c r="C297" s="63" t="s">
        <v>2707</v>
      </c>
      <c r="D297" s="57" t="s">
        <v>3335</v>
      </c>
      <c r="E297" s="63"/>
      <c r="F297" s="63"/>
      <c r="G297" s="63" t="s">
        <v>3133</v>
      </c>
      <c r="H297" s="57" t="s">
        <v>2911</v>
      </c>
      <c r="I297" s="63"/>
      <c r="J297" s="57" t="s">
        <v>235</v>
      </c>
    </row>
    <row r="298" spans="1:10" x14ac:dyDescent="0.25">
      <c r="A298" s="57" t="s">
        <v>60</v>
      </c>
      <c r="B298" s="68">
        <v>26</v>
      </c>
      <c r="C298" s="63" t="s">
        <v>2708</v>
      </c>
      <c r="D298" s="57" t="s">
        <v>3334</v>
      </c>
      <c r="E298" s="63"/>
      <c r="F298" s="63"/>
      <c r="G298" s="63" t="s">
        <v>3134</v>
      </c>
      <c r="H298" s="57" t="s">
        <v>2912</v>
      </c>
      <c r="I298" s="63"/>
      <c r="J298" s="57" t="s">
        <v>156</v>
      </c>
    </row>
    <row r="299" spans="1:10" x14ac:dyDescent="0.25">
      <c r="A299" s="57" t="s">
        <v>60</v>
      </c>
      <c r="B299" s="68">
        <v>26</v>
      </c>
      <c r="C299" s="63" t="s">
        <v>2709</v>
      </c>
      <c r="D299" s="57" t="s">
        <v>3337</v>
      </c>
      <c r="E299" s="63"/>
      <c r="F299" s="63"/>
      <c r="G299" s="63" t="s">
        <v>3135</v>
      </c>
      <c r="H299" s="57" t="s">
        <v>2913</v>
      </c>
      <c r="I299" s="63"/>
      <c r="J299" s="57" t="s">
        <v>163</v>
      </c>
    </row>
    <row r="300" spans="1:10" x14ac:dyDescent="0.25">
      <c r="A300" s="57" t="s">
        <v>60</v>
      </c>
      <c r="B300" s="68">
        <v>27</v>
      </c>
      <c r="C300" s="63" t="s">
        <v>2710</v>
      </c>
      <c r="D300" s="57" t="s">
        <v>3338</v>
      </c>
      <c r="E300" s="63"/>
      <c r="F300" s="63"/>
      <c r="G300" s="63" t="s">
        <v>3136</v>
      </c>
      <c r="H300" s="57" t="s">
        <v>2914</v>
      </c>
      <c r="I300" s="63"/>
      <c r="J300" s="57" t="s">
        <v>195</v>
      </c>
    </row>
    <row r="301" spans="1:10" x14ac:dyDescent="0.25">
      <c r="A301" s="57" t="s">
        <v>60</v>
      </c>
      <c r="B301" s="68">
        <v>28</v>
      </c>
      <c r="C301" s="63" t="s">
        <v>2713</v>
      </c>
      <c r="D301" s="57" t="s">
        <v>3339</v>
      </c>
      <c r="E301" s="63"/>
      <c r="F301" s="63"/>
      <c r="G301" s="63" t="s">
        <v>3139</v>
      </c>
      <c r="H301" s="57" t="s">
        <v>2917</v>
      </c>
      <c r="I301" s="63"/>
      <c r="J301" s="57" t="s">
        <v>100</v>
      </c>
    </row>
    <row r="302" spans="1:10" x14ac:dyDescent="0.25">
      <c r="A302" s="57" t="s">
        <v>60</v>
      </c>
      <c r="B302" s="68">
        <v>28</v>
      </c>
      <c r="C302" s="63" t="s">
        <v>2711</v>
      </c>
      <c r="D302" s="57" t="s">
        <v>3340</v>
      </c>
      <c r="E302" s="63"/>
      <c r="F302" s="63"/>
      <c r="G302" s="63" t="s">
        <v>3137</v>
      </c>
      <c r="H302" s="57" t="s">
        <v>2915</v>
      </c>
      <c r="I302" s="63"/>
      <c r="J302" s="57" t="s">
        <v>91</v>
      </c>
    </row>
    <row r="303" spans="1:10" x14ac:dyDescent="0.25">
      <c r="A303" s="57" t="s">
        <v>60</v>
      </c>
      <c r="B303" s="68">
        <v>28</v>
      </c>
      <c r="C303" s="63" t="s">
        <v>2712</v>
      </c>
      <c r="D303" s="57" t="s">
        <v>1899</v>
      </c>
      <c r="E303" s="63"/>
      <c r="F303" s="63"/>
      <c r="G303" s="63" t="s">
        <v>3138</v>
      </c>
      <c r="H303" s="57" t="s">
        <v>2916</v>
      </c>
      <c r="I303" s="63"/>
      <c r="J303" s="57" t="s">
        <v>91</v>
      </c>
    </row>
    <row r="304" spans="1:10" x14ac:dyDescent="0.25">
      <c r="A304" s="57" t="s">
        <v>60</v>
      </c>
      <c r="B304" s="68"/>
      <c r="C304" s="63" t="s">
        <v>2701</v>
      </c>
      <c r="D304" s="69" t="s">
        <v>3341</v>
      </c>
      <c r="E304" s="63"/>
      <c r="F304" s="63"/>
      <c r="G304" s="63" t="s">
        <v>3127</v>
      </c>
      <c r="H304" s="57" t="s">
        <v>2905</v>
      </c>
      <c r="I304" s="63"/>
      <c r="J304" s="57" t="s">
        <v>92</v>
      </c>
    </row>
    <row r="305" spans="1:10" x14ac:dyDescent="0.25">
      <c r="A305" s="61" t="s">
        <v>2047</v>
      </c>
      <c r="B305" s="61"/>
      <c r="C305" s="61" t="s">
        <v>2001</v>
      </c>
      <c r="D305" s="61" t="s">
        <v>2010</v>
      </c>
      <c r="E305" s="61" t="s">
        <v>2154</v>
      </c>
      <c r="F305" s="77"/>
      <c r="G305" s="61" t="s">
        <v>2317</v>
      </c>
      <c r="H305" s="61" t="s">
        <v>2318</v>
      </c>
      <c r="I305" s="61" t="s">
        <v>2330</v>
      </c>
      <c r="J305" s="23" t="s">
        <v>139</v>
      </c>
    </row>
    <row r="306" spans="1:10" x14ac:dyDescent="0.25">
      <c r="A306" s="61" t="s">
        <v>2047</v>
      </c>
      <c r="B306" s="61"/>
      <c r="C306" s="61" t="s">
        <v>1993</v>
      </c>
      <c r="D306" s="61" t="s">
        <v>2067</v>
      </c>
      <c r="E306" s="61" t="s">
        <v>2149</v>
      </c>
      <c r="F306" s="77"/>
      <c r="G306" s="61" t="s">
        <v>2302</v>
      </c>
      <c r="H306" s="61" t="s">
        <v>2299</v>
      </c>
      <c r="I306" s="61" t="s">
        <v>2324</v>
      </c>
      <c r="J306" s="23" t="s">
        <v>2300</v>
      </c>
    </row>
    <row r="307" spans="1:10" x14ac:dyDescent="0.25">
      <c r="A307" s="61" t="s">
        <v>2047</v>
      </c>
      <c r="B307" s="61"/>
      <c r="C307" s="61" t="s">
        <v>1998</v>
      </c>
      <c r="D307" s="61" t="s">
        <v>2007</v>
      </c>
      <c r="E307" s="61" t="s">
        <v>2152</v>
      </c>
      <c r="F307" s="77"/>
      <c r="G307" s="61" t="s">
        <v>2311</v>
      </c>
      <c r="H307" s="61" t="s">
        <v>2312</v>
      </c>
      <c r="I307" s="61" t="s">
        <v>2327</v>
      </c>
      <c r="J307" s="23" t="s">
        <v>2300</v>
      </c>
    </row>
    <row r="308" spans="1:10" x14ac:dyDescent="0.25">
      <c r="A308" s="61" t="s">
        <v>2047</v>
      </c>
      <c r="B308" s="61"/>
      <c r="C308" s="61" t="s">
        <v>2000</v>
      </c>
      <c r="D308" s="61" t="s">
        <v>2009</v>
      </c>
      <c r="E308" s="61" t="s">
        <v>2153</v>
      </c>
      <c r="F308" s="77"/>
      <c r="G308" s="61" t="s">
        <v>2315</v>
      </c>
      <c r="H308" s="61" t="s">
        <v>2316</v>
      </c>
      <c r="I308" s="61" t="s">
        <v>2329</v>
      </c>
      <c r="J308" s="23" t="s">
        <v>139</v>
      </c>
    </row>
    <row r="309" spans="1:10" x14ac:dyDescent="0.25">
      <c r="A309" s="61" t="s">
        <v>2047</v>
      </c>
      <c r="B309" s="61"/>
      <c r="C309" s="61" t="s">
        <v>1999</v>
      </c>
      <c r="D309" s="61" t="s">
        <v>2008</v>
      </c>
      <c r="E309" s="61" t="s">
        <v>2487</v>
      </c>
      <c r="F309" s="77"/>
      <c r="G309" s="61" t="s">
        <v>2313</v>
      </c>
      <c r="H309" s="61" t="s">
        <v>2314</v>
      </c>
      <c r="I309" s="61" t="s">
        <v>2328</v>
      </c>
      <c r="J309" s="23" t="s">
        <v>100</v>
      </c>
    </row>
    <row r="310" spans="1:10" x14ac:dyDescent="0.25">
      <c r="A310" s="61" t="s">
        <v>2047</v>
      </c>
      <c r="B310" s="61"/>
      <c r="C310" s="61" t="s">
        <v>1992</v>
      </c>
      <c r="D310" s="61" t="s">
        <v>2002</v>
      </c>
      <c r="E310" s="61" t="s">
        <v>2147</v>
      </c>
      <c r="F310" s="77"/>
      <c r="G310" s="61" t="s">
        <v>2301</v>
      </c>
      <c r="H310" s="61" t="s">
        <v>2298</v>
      </c>
      <c r="I310" s="61" t="s">
        <v>2323</v>
      </c>
      <c r="J310" s="23" t="s">
        <v>91</v>
      </c>
    </row>
    <row r="311" spans="1:10" x14ac:dyDescent="0.25">
      <c r="A311" s="61" t="s">
        <v>2047</v>
      </c>
      <c r="B311" s="61"/>
      <c r="C311" s="61" t="s">
        <v>1995</v>
      </c>
      <c r="D311" s="61" t="s">
        <v>2003</v>
      </c>
      <c r="E311" s="61" t="s">
        <v>2148</v>
      </c>
      <c r="F311" s="77"/>
      <c r="G311" s="61" t="s">
        <v>2303</v>
      </c>
      <c r="H311" s="61" t="s">
        <v>2304</v>
      </c>
      <c r="I311" s="61" t="s">
        <v>2325</v>
      </c>
      <c r="J311" s="23" t="s">
        <v>139</v>
      </c>
    </row>
    <row r="312" spans="1:10" x14ac:dyDescent="0.25">
      <c r="A312" s="61" t="s">
        <v>2047</v>
      </c>
      <c r="B312" s="61"/>
      <c r="C312" s="61" t="s">
        <v>1996</v>
      </c>
      <c r="D312" s="61" t="s">
        <v>2005</v>
      </c>
      <c r="E312" s="62" t="s">
        <v>3234</v>
      </c>
      <c r="F312" s="77"/>
      <c r="G312" s="61" t="s">
        <v>2307</v>
      </c>
      <c r="H312" s="61" t="s">
        <v>2308</v>
      </c>
      <c r="I312" s="61" t="s">
        <v>2319</v>
      </c>
      <c r="J312" s="23" t="s">
        <v>164</v>
      </c>
    </row>
    <row r="313" spans="1:10" x14ac:dyDescent="0.25">
      <c r="A313" s="61" t="s">
        <v>2047</v>
      </c>
      <c r="B313" s="61"/>
      <c r="C313" s="61" t="s">
        <v>1994</v>
      </c>
      <c r="D313" s="61" t="s">
        <v>2004</v>
      </c>
      <c r="E313" s="61" t="s">
        <v>2150</v>
      </c>
      <c r="F313" s="77"/>
      <c r="G313" s="61" t="s">
        <v>2305</v>
      </c>
      <c r="H313" s="61" t="s">
        <v>2306</v>
      </c>
      <c r="I313" s="61" t="s">
        <v>2478</v>
      </c>
      <c r="J313" s="23" t="s">
        <v>100</v>
      </c>
    </row>
    <row r="314" spans="1:10" x14ac:dyDescent="0.25">
      <c r="A314" s="61" t="s">
        <v>2047</v>
      </c>
      <c r="B314" s="61"/>
      <c r="C314" s="61" t="s">
        <v>1997</v>
      </c>
      <c r="D314" s="61" t="s">
        <v>2006</v>
      </c>
      <c r="E314" s="61" t="s">
        <v>2151</v>
      </c>
      <c r="F314" s="77"/>
      <c r="G314" s="61" t="s">
        <v>2309</v>
      </c>
      <c r="H314" s="61" t="s">
        <v>2310</v>
      </c>
      <c r="I314" s="61" t="s">
        <v>2326</v>
      </c>
      <c r="J314" s="23" t="s">
        <v>156</v>
      </c>
    </row>
    <row r="315" spans="1:10" x14ac:dyDescent="0.25">
      <c r="A315" s="65" t="s">
        <v>2799</v>
      </c>
      <c r="B315" s="68">
        <v>1</v>
      </c>
      <c r="C315" s="66" t="s">
        <v>120</v>
      </c>
      <c r="D315" s="64" t="s">
        <v>1926</v>
      </c>
      <c r="E315" s="61" t="s">
        <v>2155</v>
      </c>
      <c r="G315" s="29"/>
      <c r="H315" s="29"/>
    </row>
    <row r="316" spans="1:10" x14ac:dyDescent="0.25">
      <c r="A316" s="57" t="s">
        <v>2799</v>
      </c>
      <c r="B316" s="68">
        <v>2</v>
      </c>
      <c r="C316" s="63" t="s">
        <v>2641</v>
      </c>
      <c r="D316" s="57" t="s">
        <v>2063</v>
      </c>
      <c r="E316" s="63"/>
      <c r="F316" s="63"/>
      <c r="G316" s="63" t="s">
        <v>3064</v>
      </c>
      <c r="H316" s="57" t="s">
        <v>2844</v>
      </c>
      <c r="I316" s="63"/>
      <c r="J316" s="57" t="s">
        <v>153</v>
      </c>
    </row>
    <row r="317" spans="1:10" x14ac:dyDescent="0.25">
      <c r="A317" s="57" t="s">
        <v>2799</v>
      </c>
      <c r="B317" s="68">
        <v>2</v>
      </c>
      <c r="C317" s="63" t="s">
        <v>2642</v>
      </c>
      <c r="D317" s="57" t="s">
        <v>275</v>
      </c>
      <c r="E317" s="63"/>
      <c r="F317" s="63"/>
      <c r="G317" s="63" t="s">
        <v>3065</v>
      </c>
      <c r="H317" s="57" t="s">
        <v>2845</v>
      </c>
      <c r="I317" s="63"/>
      <c r="J317" s="57" t="s">
        <v>91</v>
      </c>
    </row>
    <row r="318" spans="1:10" x14ac:dyDescent="0.25">
      <c r="A318" s="57" t="s">
        <v>2799</v>
      </c>
      <c r="B318" s="68">
        <v>3</v>
      </c>
      <c r="C318" s="63" t="s">
        <v>2643</v>
      </c>
      <c r="D318" s="69" t="s">
        <v>3342</v>
      </c>
      <c r="E318" s="63"/>
      <c r="F318" s="63"/>
      <c r="G318" s="63" t="s">
        <v>3066</v>
      </c>
      <c r="H318" s="57" t="s">
        <v>2846</v>
      </c>
      <c r="I318" s="63"/>
      <c r="J318" s="57" t="s">
        <v>91</v>
      </c>
    </row>
    <row r="319" spans="1:10" x14ac:dyDescent="0.25">
      <c r="A319" s="57" t="s">
        <v>2799</v>
      </c>
      <c r="B319" s="68">
        <v>6</v>
      </c>
      <c r="C319" s="63" t="s">
        <v>2644</v>
      </c>
      <c r="D319" s="69" t="s">
        <v>3345</v>
      </c>
      <c r="E319" s="63"/>
      <c r="F319" s="63"/>
      <c r="G319" s="63" t="s">
        <v>3067</v>
      </c>
      <c r="H319" s="57" t="s">
        <v>2847</v>
      </c>
      <c r="I319" s="63"/>
      <c r="J319" s="57" t="s">
        <v>92</v>
      </c>
    </row>
    <row r="320" spans="1:10" x14ac:dyDescent="0.25">
      <c r="A320" s="57" t="s">
        <v>2799</v>
      </c>
      <c r="B320" s="68">
        <v>7</v>
      </c>
      <c r="C320" s="63" t="s">
        <v>2645</v>
      </c>
      <c r="D320" s="69" t="s">
        <v>3344</v>
      </c>
      <c r="E320" s="63"/>
      <c r="F320" s="63"/>
      <c r="G320" s="63" t="s">
        <v>3068</v>
      </c>
      <c r="H320" s="57" t="s">
        <v>2848</v>
      </c>
      <c r="I320" s="63"/>
      <c r="J320" s="57" t="s">
        <v>92</v>
      </c>
    </row>
    <row r="321" spans="1:10" x14ac:dyDescent="0.25">
      <c r="A321" s="57" t="s">
        <v>2799</v>
      </c>
      <c r="B321" s="68">
        <v>8</v>
      </c>
      <c r="C321" s="63" t="s">
        <v>2646</v>
      </c>
      <c r="D321" s="69" t="s">
        <v>3343</v>
      </c>
      <c r="E321" s="63"/>
      <c r="F321" s="63"/>
      <c r="G321" s="63" t="s">
        <v>3069</v>
      </c>
      <c r="H321" s="57" t="s">
        <v>2849</v>
      </c>
      <c r="I321" s="63"/>
      <c r="J321" s="57" t="s">
        <v>92</v>
      </c>
    </row>
    <row r="322" spans="1:10" x14ac:dyDescent="0.25">
      <c r="A322" s="57" t="s">
        <v>2799</v>
      </c>
      <c r="B322" s="68">
        <v>9</v>
      </c>
      <c r="C322" s="63" t="s">
        <v>217</v>
      </c>
      <c r="D322" s="57" t="s">
        <v>1904</v>
      </c>
      <c r="E322" s="63"/>
      <c r="F322" s="63"/>
      <c r="G322" s="63" t="s">
        <v>3075</v>
      </c>
      <c r="H322" s="57" t="s">
        <v>521</v>
      </c>
      <c r="I322" s="63"/>
      <c r="J322" s="57" t="s">
        <v>211</v>
      </c>
    </row>
    <row r="323" spans="1:10" x14ac:dyDescent="0.25">
      <c r="A323" s="57" t="s">
        <v>2799</v>
      </c>
      <c r="B323" s="68">
        <v>10</v>
      </c>
      <c r="C323" s="63" t="s">
        <v>218</v>
      </c>
      <c r="D323" s="57" t="s">
        <v>1973</v>
      </c>
      <c r="E323" s="63"/>
      <c r="F323" s="63"/>
      <c r="G323" s="63" t="s">
        <v>3076</v>
      </c>
      <c r="H323" s="57" t="s">
        <v>523</v>
      </c>
      <c r="I323" s="63"/>
      <c r="J323" s="57" t="s">
        <v>100</v>
      </c>
    </row>
    <row r="324" spans="1:10" x14ac:dyDescent="0.25">
      <c r="A324" s="57" t="s">
        <v>2799</v>
      </c>
      <c r="B324" s="57"/>
      <c r="C324" s="63" t="s">
        <v>2647</v>
      </c>
      <c r="D324" s="69" t="s">
        <v>3347</v>
      </c>
      <c r="E324" s="63"/>
      <c r="F324" s="63"/>
      <c r="G324" s="63" t="s">
        <v>3070</v>
      </c>
      <c r="H324" s="57" t="s">
        <v>2850</v>
      </c>
      <c r="I324" s="63"/>
      <c r="J324" s="57" t="s">
        <v>92</v>
      </c>
    </row>
    <row r="325" spans="1:10" x14ac:dyDescent="0.25">
      <c r="A325" s="57" t="s">
        <v>2799</v>
      </c>
      <c r="B325" s="57"/>
      <c r="C325" s="63" t="s">
        <v>2648</v>
      </c>
      <c r="D325" s="69" t="s">
        <v>3346</v>
      </c>
      <c r="E325" s="63"/>
      <c r="F325" s="63"/>
      <c r="G325" s="63" t="s">
        <v>3071</v>
      </c>
      <c r="H325" s="57" t="s">
        <v>2851</v>
      </c>
      <c r="I325" s="63"/>
      <c r="J325" s="57" t="s">
        <v>92</v>
      </c>
    </row>
    <row r="326" spans="1:10" x14ac:dyDescent="0.25">
      <c r="A326" s="57" t="s">
        <v>2799</v>
      </c>
      <c r="B326" s="57"/>
      <c r="C326" s="63" t="s">
        <v>2651</v>
      </c>
      <c r="D326" s="69" t="s">
        <v>3376</v>
      </c>
      <c r="E326" s="63"/>
      <c r="F326" s="63"/>
      <c r="G326" s="63" t="s">
        <v>3074</v>
      </c>
      <c r="H326" s="57" t="s">
        <v>2854</v>
      </c>
      <c r="I326" s="63"/>
      <c r="J326" s="57" t="s">
        <v>92</v>
      </c>
    </row>
    <row r="327" spans="1:10" x14ac:dyDescent="0.25">
      <c r="A327" s="57" t="s">
        <v>2799</v>
      </c>
      <c r="B327" s="57"/>
      <c r="C327" s="63" t="s">
        <v>2649</v>
      </c>
      <c r="D327" s="69" t="s">
        <v>3377</v>
      </c>
      <c r="E327" s="63"/>
      <c r="F327" s="63"/>
      <c r="G327" s="63" t="s">
        <v>3072</v>
      </c>
      <c r="H327" s="57" t="s">
        <v>2852</v>
      </c>
      <c r="I327" s="63"/>
      <c r="J327" s="57" t="s">
        <v>92</v>
      </c>
    </row>
    <row r="328" spans="1:10" x14ac:dyDescent="0.25">
      <c r="A328" s="57" t="s">
        <v>2799</v>
      </c>
      <c r="B328" s="57"/>
      <c r="C328" s="63" t="s">
        <v>2650</v>
      </c>
      <c r="D328" s="69" t="s">
        <v>3378</v>
      </c>
      <c r="E328" s="63"/>
      <c r="F328" s="63"/>
      <c r="G328" s="63" t="s">
        <v>3073</v>
      </c>
      <c r="H328" s="57" t="s">
        <v>2853</v>
      </c>
      <c r="I328" s="63"/>
      <c r="J328" s="57" t="s">
        <v>92</v>
      </c>
    </row>
    <row r="329" spans="1:10" x14ac:dyDescent="0.25">
      <c r="A329" s="67" t="s">
        <v>2803</v>
      </c>
      <c r="B329" s="68">
        <v>1</v>
      </c>
      <c r="C329" s="66" t="s">
        <v>120</v>
      </c>
      <c r="D329" s="61" t="s">
        <v>1954</v>
      </c>
      <c r="E329" s="61" t="s">
        <v>2184</v>
      </c>
      <c r="F329" s="61"/>
      <c r="G329" s="29"/>
      <c r="H329" s="29"/>
    </row>
    <row r="330" spans="1:10" x14ac:dyDescent="0.25">
      <c r="A330" s="57" t="s">
        <v>2803</v>
      </c>
      <c r="B330" s="68">
        <v>2</v>
      </c>
      <c r="C330" s="63" t="s">
        <v>2652</v>
      </c>
      <c r="D330" s="61" t="s">
        <v>1907</v>
      </c>
      <c r="E330" s="63"/>
      <c r="F330" s="63"/>
      <c r="G330" s="63" t="s">
        <v>3077</v>
      </c>
      <c r="H330" s="57" t="s">
        <v>2855</v>
      </c>
      <c r="I330" s="63"/>
      <c r="J330" s="57" t="s">
        <v>156</v>
      </c>
    </row>
    <row r="331" spans="1:10" x14ac:dyDescent="0.25">
      <c r="A331" s="57" t="s">
        <v>2803</v>
      </c>
      <c r="B331" s="68">
        <v>3</v>
      </c>
      <c r="C331" s="63" t="s">
        <v>2653</v>
      </c>
      <c r="D331" s="61" t="s">
        <v>1908</v>
      </c>
      <c r="E331" s="63"/>
      <c r="F331" s="63"/>
      <c r="G331" s="63" t="s">
        <v>3078</v>
      </c>
      <c r="H331" s="57" t="s">
        <v>2856</v>
      </c>
      <c r="I331" s="63"/>
      <c r="J331" s="57" t="s">
        <v>156</v>
      </c>
    </row>
    <row r="332" spans="1:10" x14ac:dyDescent="0.25">
      <c r="A332" s="57" t="s">
        <v>2803</v>
      </c>
      <c r="B332" s="68">
        <v>4</v>
      </c>
      <c r="C332" s="63" t="s">
        <v>2654</v>
      </c>
      <c r="D332" s="61" t="s">
        <v>3348</v>
      </c>
      <c r="E332" s="63"/>
      <c r="F332" s="63"/>
      <c r="G332" s="63" t="s">
        <v>3079</v>
      </c>
      <c r="H332" s="57" t="s">
        <v>2857</v>
      </c>
      <c r="I332" s="63"/>
      <c r="J332" s="57" t="s">
        <v>3006</v>
      </c>
    </row>
    <row r="333" spans="1:10" x14ac:dyDescent="0.25">
      <c r="A333" s="57" t="s">
        <v>2803</v>
      </c>
      <c r="B333" s="68">
        <v>5</v>
      </c>
      <c r="C333" s="63" t="s">
        <v>2655</v>
      </c>
      <c r="D333" s="63" t="s">
        <v>1978</v>
      </c>
      <c r="E333" s="63"/>
      <c r="F333" s="63"/>
      <c r="G333" s="63" t="s">
        <v>3080</v>
      </c>
      <c r="H333" s="57" t="s">
        <v>2858</v>
      </c>
      <c r="I333" s="63"/>
      <c r="J333" s="57" t="s">
        <v>195</v>
      </c>
    </row>
    <row r="334" spans="1:10" x14ac:dyDescent="0.25">
      <c r="A334" s="57" t="s">
        <v>2803</v>
      </c>
      <c r="B334" s="68">
        <v>6</v>
      </c>
      <c r="C334" s="63" t="s">
        <v>2657</v>
      </c>
      <c r="D334" s="63" t="s">
        <v>3349</v>
      </c>
      <c r="E334" s="63"/>
      <c r="F334" s="63"/>
      <c r="G334" s="63" t="s">
        <v>3082</v>
      </c>
      <c r="H334" s="57" t="s">
        <v>2860</v>
      </c>
      <c r="I334" s="63"/>
      <c r="J334" s="57" t="s">
        <v>195</v>
      </c>
    </row>
    <row r="335" spans="1:10" x14ac:dyDescent="0.25">
      <c r="A335" s="57" t="s">
        <v>2803</v>
      </c>
      <c r="B335" s="68">
        <v>7</v>
      </c>
      <c r="C335" s="63" t="s">
        <v>2658</v>
      </c>
      <c r="D335" s="63" t="s">
        <v>3350</v>
      </c>
      <c r="E335" s="63"/>
      <c r="F335" s="63"/>
      <c r="G335" s="63" t="s">
        <v>3083</v>
      </c>
      <c r="H335" s="57" t="s">
        <v>2861</v>
      </c>
      <c r="I335" s="63"/>
      <c r="J335" s="57" t="s">
        <v>100</v>
      </c>
    </row>
    <row r="336" spans="1:10" x14ac:dyDescent="0.25">
      <c r="A336" s="57" t="s">
        <v>2803</v>
      </c>
      <c r="B336" s="68">
        <v>8</v>
      </c>
      <c r="C336" s="63" t="s">
        <v>2659</v>
      </c>
      <c r="D336" s="63" t="s">
        <v>3351</v>
      </c>
      <c r="E336" s="63"/>
      <c r="F336" s="63"/>
      <c r="G336" s="63" t="s">
        <v>3084</v>
      </c>
      <c r="H336" s="57" t="s">
        <v>2862</v>
      </c>
      <c r="I336" s="63"/>
      <c r="J336" s="57" t="s">
        <v>100</v>
      </c>
    </row>
    <row r="337" spans="1:10" x14ac:dyDescent="0.25">
      <c r="A337" s="57" t="s">
        <v>2803</v>
      </c>
      <c r="B337" s="68">
        <v>9</v>
      </c>
      <c r="C337" s="63" t="s">
        <v>2660</v>
      </c>
      <c r="D337" s="63" t="s">
        <v>3369</v>
      </c>
      <c r="E337" s="63"/>
      <c r="F337" s="63"/>
      <c r="G337" s="63" t="s">
        <v>3085</v>
      </c>
      <c r="H337" s="57" t="s">
        <v>2863</v>
      </c>
      <c r="I337" s="63"/>
      <c r="J337" s="57" t="s">
        <v>3007</v>
      </c>
    </row>
    <row r="338" spans="1:10" x14ac:dyDescent="0.25">
      <c r="A338" s="57" t="s">
        <v>2803</v>
      </c>
      <c r="B338" s="68">
        <v>10</v>
      </c>
      <c r="C338" s="63" t="s">
        <v>2666</v>
      </c>
      <c r="D338" s="63" t="s">
        <v>3370</v>
      </c>
      <c r="E338" s="63"/>
      <c r="F338" s="63"/>
      <c r="G338" s="63" t="s">
        <v>3091</v>
      </c>
      <c r="H338" s="57" t="s">
        <v>2869</v>
      </c>
      <c r="I338" s="63"/>
      <c r="J338" s="57" t="s">
        <v>3007</v>
      </c>
    </row>
    <row r="339" spans="1:10" x14ac:dyDescent="0.25">
      <c r="A339" s="57" t="s">
        <v>2803</v>
      </c>
      <c r="B339" s="68">
        <v>10</v>
      </c>
      <c r="C339" s="63" t="s">
        <v>2662</v>
      </c>
      <c r="D339" s="63" t="s">
        <v>3372</v>
      </c>
      <c r="E339" s="63"/>
      <c r="F339" s="63"/>
      <c r="G339" s="63" t="s">
        <v>3087</v>
      </c>
      <c r="H339" s="57" t="s">
        <v>2865</v>
      </c>
      <c r="I339" s="63"/>
      <c r="J339" s="57" t="s">
        <v>3008</v>
      </c>
    </row>
    <row r="340" spans="1:10" x14ac:dyDescent="0.25">
      <c r="A340" s="57" t="s">
        <v>2803</v>
      </c>
      <c r="B340" s="68">
        <v>10</v>
      </c>
      <c r="C340" s="63" t="s">
        <v>2663</v>
      </c>
      <c r="D340" s="63" t="s">
        <v>3373</v>
      </c>
      <c r="E340" s="63"/>
      <c r="F340" s="63"/>
      <c r="G340" s="63" t="s">
        <v>3088</v>
      </c>
      <c r="H340" s="57" t="s">
        <v>2866</v>
      </c>
      <c r="I340" s="63"/>
      <c r="J340" s="57" t="s">
        <v>3008</v>
      </c>
    </row>
    <row r="341" spans="1:10" x14ac:dyDescent="0.25">
      <c r="A341" s="57" t="s">
        <v>2803</v>
      </c>
      <c r="B341" s="68">
        <v>10</v>
      </c>
      <c r="C341" s="63" t="s">
        <v>2661</v>
      </c>
      <c r="D341" s="63" t="s">
        <v>3374</v>
      </c>
      <c r="E341" s="63"/>
      <c r="F341" s="63"/>
      <c r="G341" s="63" t="s">
        <v>3086</v>
      </c>
      <c r="H341" s="57" t="s">
        <v>2864</v>
      </c>
      <c r="I341" s="63"/>
      <c r="J341" s="57" t="s">
        <v>3008</v>
      </c>
    </row>
    <row r="342" spans="1:10" x14ac:dyDescent="0.25">
      <c r="A342" s="57" t="s">
        <v>2803</v>
      </c>
      <c r="B342" s="68">
        <v>10</v>
      </c>
      <c r="C342" s="63" t="s">
        <v>2664</v>
      </c>
      <c r="D342" s="63" t="s">
        <v>3371</v>
      </c>
      <c r="E342" s="63"/>
      <c r="F342" s="63"/>
      <c r="G342" s="63" t="s">
        <v>3089</v>
      </c>
      <c r="H342" s="57" t="s">
        <v>2867</v>
      </c>
      <c r="I342" s="63"/>
      <c r="J342" s="57" t="s">
        <v>3007</v>
      </c>
    </row>
    <row r="343" spans="1:10" x14ac:dyDescent="0.25">
      <c r="A343" s="57" t="s">
        <v>2803</v>
      </c>
      <c r="B343" s="68">
        <v>10</v>
      </c>
      <c r="C343" s="63" t="s">
        <v>2665</v>
      </c>
      <c r="D343" s="63" t="s">
        <v>3375</v>
      </c>
      <c r="E343" s="63"/>
      <c r="F343" s="63"/>
      <c r="G343" s="63" t="s">
        <v>3090</v>
      </c>
      <c r="H343" s="57" t="s">
        <v>2868</v>
      </c>
      <c r="I343" s="63"/>
      <c r="J343" s="57" t="s">
        <v>3007</v>
      </c>
    </row>
    <row r="344" spans="1:10" x14ac:dyDescent="0.25">
      <c r="A344" s="57" t="s">
        <v>2803</v>
      </c>
      <c r="B344" s="68">
        <v>11</v>
      </c>
      <c r="C344" s="63" t="s">
        <v>2667</v>
      </c>
      <c r="D344" s="63" t="s">
        <v>3379</v>
      </c>
      <c r="E344" s="63"/>
      <c r="F344" s="63"/>
      <c r="G344" s="63" t="s">
        <v>3092</v>
      </c>
      <c r="H344" s="57" t="s">
        <v>2870</v>
      </c>
      <c r="I344" s="63"/>
      <c r="J344" s="57" t="s">
        <v>100</v>
      </c>
    </row>
    <row r="345" spans="1:10" x14ac:dyDescent="0.25">
      <c r="A345" s="57" t="s">
        <v>2803</v>
      </c>
      <c r="B345" s="68">
        <v>12</v>
      </c>
      <c r="C345" s="63" t="s">
        <v>2656</v>
      </c>
      <c r="D345" s="63" t="s">
        <v>3352</v>
      </c>
      <c r="E345" s="63"/>
      <c r="F345" s="63"/>
      <c r="G345" s="63" t="s">
        <v>3081</v>
      </c>
      <c r="H345" s="57" t="s">
        <v>2859</v>
      </c>
      <c r="I345" s="63"/>
      <c r="J345" s="57" t="s">
        <v>195</v>
      </c>
    </row>
    <row r="346" spans="1:10" x14ac:dyDescent="0.25">
      <c r="A346" s="61" t="s">
        <v>67</v>
      </c>
      <c r="B346" s="61"/>
      <c r="C346" s="61" t="s">
        <v>207</v>
      </c>
      <c r="D346" s="63" t="s">
        <v>1939</v>
      </c>
      <c r="E346" s="61" t="s">
        <v>2173</v>
      </c>
      <c r="F346" s="77" t="s">
        <v>1613</v>
      </c>
      <c r="G346" s="61" t="s">
        <v>502</v>
      </c>
      <c r="H346" s="61" t="s">
        <v>503</v>
      </c>
      <c r="I346" s="75" t="s">
        <v>2412</v>
      </c>
      <c r="J346" s="61" t="s">
        <v>138</v>
      </c>
    </row>
    <row r="347" spans="1:10" x14ac:dyDescent="0.25">
      <c r="A347" s="61" t="s">
        <v>67</v>
      </c>
      <c r="B347" s="61"/>
      <c r="C347" s="61" t="s">
        <v>208</v>
      </c>
      <c r="D347" s="63" t="s">
        <v>1940</v>
      </c>
      <c r="E347" s="61" t="s">
        <v>2174</v>
      </c>
      <c r="F347" s="77" t="s">
        <v>1614</v>
      </c>
      <c r="G347" s="61" t="s">
        <v>504</v>
      </c>
      <c r="H347" s="61" t="s">
        <v>505</v>
      </c>
      <c r="I347" s="75" t="s">
        <v>2413</v>
      </c>
      <c r="J347" s="61" t="s">
        <v>138</v>
      </c>
    </row>
    <row r="348" spans="1:10" x14ac:dyDescent="0.25">
      <c r="A348" s="61" t="s">
        <v>67</v>
      </c>
      <c r="B348" s="61"/>
      <c r="C348" s="61" t="s">
        <v>203</v>
      </c>
      <c r="D348" s="63" t="s">
        <v>1935</v>
      </c>
      <c r="E348" s="62" t="s">
        <v>2238</v>
      </c>
      <c r="F348" s="77" t="s">
        <v>1609</v>
      </c>
      <c r="G348" s="61" t="s">
        <v>494</v>
      </c>
      <c r="H348" s="61" t="s">
        <v>495</v>
      </c>
      <c r="I348" s="75" t="s">
        <v>2408</v>
      </c>
      <c r="J348" s="61" t="s">
        <v>91</v>
      </c>
    </row>
    <row r="349" spans="1:10" x14ac:dyDescent="0.25">
      <c r="A349" s="61" t="s">
        <v>67</v>
      </c>
      <c r="B349" s="61"/>
      <c r="C349" s="61" t="s">
        <v>210</v>
      </c>
      <c r="D349" s="63" t="s">
        <v>1942</v>
      </c>
      <c r="E349" s="61" t="s">
        <v>2239</v>
      </c>
      <c r="F349" s="77" t="s">
        <v>1616</v>
      </c>
      <c r="G349" s="61" t="s">
        <v>508</v>
      </c>
      <c r="H349" s="61" t="s">
        <v>509</v>
      </c>
      <c r="I349" s="75" t="s">
        <v>2236</v>
      </c>
      <c r="J349" s="61" t="s">
        <v>156</v>
      </c>
    </row>
    <row r="350" spans="1:10" x14ac:dyDescent="0.25">
      <c r="A350" s="61" t="s">
        <v>67</v>
      </c>
      <c r="B350" s="61"/>
      <c r="C350" s="61" t="s">
        <v>205</v>
      </c>
      <c r="D350" s="63" t="s">
        <v>1937</v>
      </c>
      <c r="E350" s="61" t="s">
        <v>1937</v>
      </c>
      <c r="F350" s="77" t="s">
        <v>1611</v>
      </c>
      <c r="G350" s="61" t="s">
        <v>498</v>
      </c>
      <c r="H350" s="61" t="s">
        <v>499</v>
      </c>
      <c r="I350" s="75" t="s">
        <v>2410</v>
      </c>
      <c r="J350" s="61" t="s">
        <v>91</v>
      </c>
    </row>
    <row r="351" spans="1:10" x14ac:dyDescent="0.25">
      <c r="A351" s="61" t="s">
        <v>67</v>
      </c>
      <c r="B351" s="61"/>
      <c r="C351" s="61" t="s">
        <v>206</v>
      </c>
      <c r="D351" s="64" t="s">
        <v>1938</v>
      </c>
      <c r="E351" s="61" t="s">
        <v>2172</v>
      </c>
      <c r="F351" s="77" t="s">
        <v>1612</v>
      </c>
      <c r="G351" s="61" t="s">
        <v>500</v>
      </c>
      <c r="H351" s="61" t="s">
        <v>501</v>
      </c>
      <c r="I351" s="75" t="s">
        <v>2411</v>
      </c>
      <c r="J351" s="61" t="s">
        <v>91</v>
      </c>
    </row>
    <row r="352" spans="1:10" x14ac:dyDescent="0.25">
      <c r="A352" s="61" t="s">
        <v>67</v>
      </c>
      <c r="B352" s="61"/>
      <c r="C352" s="61" t="s">
        <v>204</v>
      </c>
      <c r="D352" s="63" t="s">
        <v>1936</v>
      </c>
      <c r="E352" s="61" t="s">
        <v>2171</v>
      </c>
      <c r="F352" s="77" t="s">
        <v>1610</v>
      </c>
      <c r="G352" s="61" t="s">
        <v>496</v>
      </c>
      <c r="H352" s="61" t="s">
        <v>497</v>
      </c>
      <c r="I352" s="75" t="s">
        <v>2409</v>
      </c>
      <c r="J352" s="61" t="s">
        <v>91</v>
      </c>
    </row>
    <row r="353" spans="1:10" x14ac:dyDescent="0.25">
      <c r="A353" s="61" t="s">
        <v>67</v>
      </c>
      <c r="B353" s="61"/>
      <c r="C353" s="61" t="s">
        <v>202</v>
      </c>
      <c r="D353" s="63" t="s">
        <v>1906</v>
      </c>
      <c r="E353" s="61" t="s">
        <v>2180</v>
      </c>
      <c r="F353" s="77" t="s">
        <v>1608</v>
      </c>
      <c r="G353" s="61" t="s">
        <v>492</v>
      </c>
      <c r="H353" s="61" t="s">
        <v>493</v>
      </c>
      <c r="I353" s="75" t="s">
        <v>2407</v>
      </c>
      <c r="J353" s="61" t="s">
        <v>91</v>
      </c>
    </row>
    <row r="354" spans="1:10" x14ac:dyDescent="0.25">
      <c r="A354" s="61" t="s">
        <v>67</v>
      </c>
      <c r="B354" s="61"/>
      <c r="C354" s="61" t="s">
        <v>209</v>
      </c>
      <c r="D354" s="63" t="s">
        <v>1941</v>
      </c>
      <c r="E354" s="61" t="s">
        <v>2175</v>
      </c>
      <c r="F354" s="77" t="s">
        <v>1615</v>
      </c>
      <c r="G354" s="61" t="s">
        <v>506</v>
      </c>
      <c r="H354" s="61" t="s">
        <v>507</v>
      </c>
      <c r="I354" s="75" t="s">
        <v>2414</v>
      </c>
      <c r="J354" s="61" t="s">
        <v>139</v>
      </c>
    </row>
    <row r="355" spans="1:10" x14ac:dyDescent="0.25">
      <c r="A355" s="61" t="s">
        <v>72</v>
      </c>
      <c r="B355" s="61"/>
      <c r="C355" s="61" t="s">
        <v>225</v>
      </c>
      <c r="D355" s="61" t="s">
        <v>1974</v>
      </c>
      <c r="E355" s="62" t="s">
        <v>2294</v>
      </c>
      <c r="F355" s="77" t="s">
        <v>1628</v>
      </c>
      <c r="G355" s="61" t="s">
        <v>530</v>
      </c>
      <c r="H355" s="61" t="s">
        <v>531</v>
      </c>
      <c r="I355" s="75" t="s">
        <v>2423</v>
      </c>
      <c r="J355" s="61" t="s">
        <v>92</v>
      </c>
    </row>
    <row r="356" spans="1:10" x14ac:dyDescent="0.25">
      <c r="A356" s="61" t="s">
        <v>72</v>
      </c>
      <c r="B356" s="61"/>
      <c r="C356" s="61" t="s">
        <v>234</v>
      </c>
      <c r="D356" s="61" t="s">
        <v>1979</v>
      </c>
      <c r="E356" s="61" t="s">
        <v>2257</v>
      </c>
      <c r="F356" s="77" t="s">
        <v>1637</v>
      </c>
      <c r="G356" s="61" t="s">
        <v>548</v>
      </c>
      <c r="H356" s="61" t="s">
        <v>549</v>
      </c>
      <c r="I356" s="75" t="s">
        <v>2256</v>
      </c>
      <c r="J356" s="61" t="s">
        <v>222</v>
      </c>
    </row>
    <row r="357" spans="1:10" x14ac:dyDescent="0.25">
      <c r="A357" s="61" t="s">
        <v>72</v>
      </c>
      <c r="B357" s="61"/>
      <c r="C357" s="61" t="s">
        <v>226</v>
      </c>
      <c r="D357" s="61" t="s">
        <v>1975</v>
      </c>
      <c r="E357" s="61" t="s">
        <v>2247</v>
      </c>
      <c r="F357" s="77" t="s">
        <v>1629</v>
      </c>
      <c r="G357" s="61" t="s">
        <v>532</v>
      </c>
      <c r="H357" s="61" t="s">
        <v>533</v>
      </c>
      <c r="I357" s="75" t="s">
        <v>2424</v>
      </c>
      <c r="J357" s="61" t="s">
        <v>195</v>
      </c>
    </row>
    <row r="358" spans="1:10" x14ac:dyDescent="0.25">
      <c r="A358" s="61" t="s">
        <v>72</v>
      </c>
      <c r="B358" s="61"/>
      <c r="C358" s="61" t="s">
        <v>229</v>
      </c>
      <c r="D358" s="61" t="s">
        <v>1909</v>
      </c>
      <c r="E358" s="62" t="s">
        <v>2250</v>
      </c>
      <c r="F358" s="77" t="s">
        <v>1632</v>
      </c>
      <c r="G358" s="61" t="s">
        <v>538</v>
      </c>
      <c r="H358" s="61" t="s">
        <v>539</v>
      </c>
      <c r="I358" s="75" t="s">
        <v>2427</v>
      </c>
      <c r="J358" s="61" t="s">
        <v>195</v>
      </c>
    </row>
    <row r="359" spans="1:10" x14ac:dyDescent="0.25">
      <c r="A359" s="61" t="s">
        <v>72</v>
      </c>
      <c r="B359" s="61"/>
      <c r="C359" s="61" t="s">
        <v>224</v>
      </c>
      <c r="D359" s="61" t="s">
        <v>1908</v>
      </c>
      <c r="E359" s="61" t="s">
        <v>2205</v>
      </c>
      <c r="F359" s="77" t="s">
        <v>1627</v>
      </c>
      <c r="G359" s="61" t="s">
        <v>529</v>
      </c>
      <c r="H359" s="61" t="s">
        <v>394</v>
      </c>
      <c r="I359" s="75" t="s">
        <v>2365</v>
      </c>
      <c r="J359" s="61" t="s">
        <v>156</v>
      </c>
    </row>
    <row r="360" spans="1:10" x14ac:dyDescent="0.25">
      <c r="A360" s="61" t="s">
        <v>72</v>
      </c>
      <c r="B360" s="61"/>
      <c r="C360" s="61" t="s">
        <v>223</v>
      </c>
      <c r="D360" s="61" t="s">
        <v>1907</v>
      </c>
      <c r="E360" s="61" t="s">
        <v>2204</v>
      </c>
      <c r="F360" s="77" t="s">
        <v>1626</v>
      </c>
      <c r="G360" s="61" t="s">
        <v>528</v>
      </c>
      <c r="H360" s="61" t="s">
        <v>392</v>
      </c>
      <c r="I360" s="75" t="s">
        <v>2364</v>
      </c>
      <c r="J360" s="61" t="s">
        <v>156</v>
      </c>
    </row>
    <row r="361" spans="1:10" x14ac:dyDescent="0.25">
      <c r="A361" s="61" t="s">
        <v>72</v>
      </c>
      <c r="B361" s="61"/>
      <c r="C361" s="61" t="s">
        <v>230</v>
      </c>
      <c r="D361" s="61" t="s">
        <v>1978</v>
      </c>
      <c r="E361" s="61" t="s">
        <v>2293</v>
      </c>
      <c r="F361" s="77" t="s">
        <v>1633</v>
      </c>
      <c r="G361" s="61" t="s">
        <v>540</v>
      </c>
      <c r="H361" s="61" t="s">
        <v>541</v>
      </c>
      <c r="I361" s="75" t="s">
        <v>2428</v>
      </c>
      <c r="J361" s="61" t="s">
        <v>195</v>
      </c>
    </row>
    <row r="362" spans="1:10" x14ac:dyDescent="0.25">
      <c r="A362" s="61" t="s">
        <v>72</v>
      </c>
      <c r="B362" s="61"/>
      <c r="C362" s="61" t="s">
        <v>202</v>
      </c>
      <c r="D362" s="61" t="s">
        <v>1952</v>
      </c>
      <c r="E362" s="61" t="s">
        <v>2185</v>
      </c>
      <c r="F362" s="77" t="s">
        <v>1608</v>
      </c>
      <c r="G362" s="61" t="s">
        <v>492</v>
      </c>
      <c r="H362" s="61" t="s">
        <v>493</v>
      </c>
      <c r="I362" s="75" t="s">
        <v>2407</v>
      </c>
      <c r="J362" s="61" t="s">
        <v>91</v>
      </c>
    </row>
    <row r="363" spans="1:10" x14ac:dyDescent="0.25">
      <c r="A363" s="61" t="s">
        <v>72</v>
      </c>
      <c r="B363" s="61"/>
      <c r="C363" s="61" t="s">
        <v>228</v>
      </c>
      <c r="D363" s="61" t="s">
        <v>1977</v>
      </c>
      <c r="E363" s="61" t="s">
        <v>2249</v>
      </c>
      <c r="F363" s="77" t="s">
        <v>1631</v>
      </c>
      <c r="G363" s="61" t="s">
        <v>536</v>
      </c>
      <c r="H363" s="61" t="s">
        <v>537</v>
      </c>
      <c r="I363" s="75" t="s">
        <v>2426</v>
      </c>
      <c r="J363" s="61" t="s">
        <v>195</v>
      </c>
    </row>
    <row r="364" spans="1:10" x14ac:dyDescent="0.25">
      <c r="A364" s="61" t="s">
        <v>72</v>
      </c>
      <c r="B364" s="61"/>
      <c r="C364" s="61" t="s">
        <v>227</v>
      </c>
      <c r="D364" s="61" t="s">
        <v>1976</v>
      </c>
      <c r="E364" s="61" t="s">
        <v>2248</v>
      </c>
      <c r="F364" s="77" t="s">
        <v>1630</v>
      </c>
      <c r="G364" s="61" t="s">
        <v>534</v>
      </c>
      <c r="H364" s="61" t="s">
        <v>535</v>
      </c>
      <c r="I364" s="75" t="s">
        <v>2425</v>
      </c>
      <c r="J364" s="61" t="s">
        <v>195</v>
      </c>
    </row>
    <row r="365" spans="1:10" x14ac:dyDescent="0.25">
      <c r="A365" s="61" t="s">
        <v>72</v>
      </c>
      <c r="B365" s="61"/>
      <c r="C365" s="61" t="s">
        <v>232</v>
      </c>
      <c r="D365" s="61" t="s">
        <v>2071</v>
      </c>
      <c r="E365" s="62" t="s">
        <v>2255</v>
      </c>
      <c r="F365" s="77" t="s">
        <v>1635</v>
      </c>
      <c r="G365" s="61" t="s">
        <v>544</v>
      </c>
      <c r="H365" s="61" t="s">
        <v>545</v>
      </c>
      <c r="I365" s="75" t="s">
        <v>2430</v>
      </c>
      <c r="J365" s="61" t="s">
        <v>221</v>
      </c>
    </row>
    <row r="366" spans="1:10" x14ac:dyDescent="0.25">
      <c r="A366" s="61" t="s">
        <v>72</v>
      </c>
      <c r="B366" s="61"/>
      <c r="C366" s="61" t="s">
        <v>231</v>
      </c>
      <c r="D366" s="61" t="s">
        <v>2070</v>
      </c>
      <c r="E366" s="62" t="s">
        <v>2254</v>
      </c>
      <c r="F366" s="77" t="s">
        <v>1634</v>
      </c>
      <c r="G366" s="61" t="s">
        <v>542</v>
      </c>
      <c r="H366" s="61" t="s">
        <v>543</v>
      </c>
      <c r="I366" s="75" t="s">
        <v>2429</v>
      </c>
      <c r="J366" s="61" t="s">
        <v>221</v>
      </c>
    </row>
    <row r="367" spans="1:10" x14ac:dyDescent="0.25">
      <c r="A367" s="61" t="s">
        <v>72</v>
      </c>
      <c r="B367" s="61"/>
      <c r="C367" s="61" t="s">
        <v>233</v>
      </c>
      <c r="D367" s="61" t="s">
        <v>2072</v>
      </c>
      <c r="E367" s="62" t="s">
        <v>2258</v>
      </c>
      <c r="F367" s="77" t="s">
        <v>1636</v>
      </c>
      <c r="G367" s="61" t="s">
        <v>546</v>
      </c>
      <c r="H367" s="61" t="s">
        <v>547</v>
      </c>
      <c r="I367" s="75" t="s">
        <v>2431</v>
      </c>
      <c r="J367" s="61" t="s">
        <v>221</v>
      </c>
    </row>
    <row r="368" spans="1:10" x14ac:dyDescent="0.25">
      <c r="A368" s="61" t="s">
        <v>69</v>
      </c>
      <c r="B368" s="61"/>
      <c r="C368" s="61" t="s">
        <v>217</v>
      </c>
      <c r="D368" s="61" t="s">
        <v>1904</v>
      </c>
      <c r="E368" s="61" t="s">
        <v>2245</v>
      </c>
      <c r="F368" s="77" t="s">
        <v>1622</v>
      </c>
      <c r="G368" s="61" t="s">
        <v>520</v>
      </c>
      <c r="H368" s="61" t="s">
        <v>521</v>
      </c>
      <c r="I368" s="75" t="s">
        <v>2420</v>
      </c>
      <c r="J368" s="61" t="s">
        <v>211</v>
      </c>
    </row>
    <row r="369" spans="1:10" x14ac:dyDescent="0.25">
      <c r="A369" s="61" t="s">
        <v>69</v>
      </c>
      <c r="B369" s="61"/>
      <c r="C369" s="61" t="s">
        <v>219</v>
      </c>
      <c r="D369" s="61" t="s">
        <v>1905</v>
      </c>
      <c r="E369" s="62" t="s">
        <v>2242</v>
      </c>
      <c r="F369" s="77" t="s">
        <v>1624</v>
      </c>
      <c r="G369" s="61" t="s">
        <v>524</v>
      </c>
      <c r="H369" s="61" t="s">
        <v>525</v>
      </c>
      <c r="I369" s="75" t="s">
        <v>2422</v>
      </c>
      <c r="J369" s="61" t="s">
        <v>100</v>
      </c>
    </row>
    <row r="370" spans="1:10" x14ac:dyDescent="0.25">
      <c r="A370" s="61" t="s">
        <v>69</v>
      </c>
      <c r="B370" s="61"/>
      <c r="C370" s="61" t="s">
        <v>218</v>
      </c>
      <c r="D370" s="62" t="s">
        <v>1973</v>
      </c>
      <c r="E370" s="61" t="s">
        <v>2246</v>
      </c>
      <c r="F370" s="77" t="s">
        <v>1623</v>
      </c>
      <c r="G370" s="61" t="s">
        <v>522</v>
      </c>
      <c r="H370" s="61" t="s">
        <v>523</v>
      </c>
      <c r="I370" s="75" t="s">
        <v>2421</v>
      </c>
      <c r="J370" s="61" t="s">
        <v>100</v>
      </c>
    </row>
    <row r="371" spans="1:10" x14ac:dyDescent="0.25">
      <c r="A371" s="61" t="s">
        <v>69</v>
      </c>
      <c r="B371" s="61"/>
      <c r="C371" s="61" t="s">
        <v>215</v>
      </c>
      <c r="D371" s="61" t="s">
        <v>1902</v>
      </c>
      <c r="E371" s="61" t="s">
        <v>2240</v>
      </c>
      <c r="F371" s="77" t="s">
        <v>1620</v>
      </c>
      <c r="G371" s="61" t="s">
        <v>516</v>
      </c>
      <c r="H371" s="61" t="s">
        <v>517</v>
      </c>
      <c r="I371" s="75" t="s">
        <v>2418</v>
      </c>
      <c r="J371" s="61" t="s">
        <v>157</v>
      </c>
    </row>
    <row r="372" spans="1:10" x14ac:dyDescent="0.25">
      <c r="A372" s="61" t="s">
        <v>69</v>
      </c>
      <c r="B372" s="61"/>
      <c r="C372" s="61" t="s">
        <v>212</v>
      </c>
      <c r="D372" s="61" t="s">
        <v>1972</v>
      </c>
      <c r="E372" s="61" t="s">
        <v>2237</v>
      </c>
      <c r="F372" s="77" t="s">
        <v>1617</v>
      </c>
      <c r="G372" s="61" t="s">
        <v>510</v>
      </c>
      <c r="H372" s="61" t="s">
        <v>511</v>
      </c>
      <c r="I372" s="75" t="s">
        <v>2415</v>
      </c>
      <c r="J372" s="61" t="s">
        <v>91</v>
      </c>
    </row>
    <row r="373" spans="1:10" x14ac:dyDescent="0.25">
      <c r="A373" s="61" t="s">
        <v>69</v>
      </c>
      <c r="B373" s="61"/>
      <c r="C373" s="61" t="s">
        <v>213</v>
      </c>
      <c r="D373" s="61" t="s">
        <v>513</v>
      </c>
      <c r="E373" s="61" t="s">
        <v>2243</v>
      </c>
      <c r="F373" s="77" t="s">
        <v>1618</v>
      </c>
      <c r="G373" s="61" t="s">
        <v>512</v>
      </c>
      <c r="H373" s="61" t="s">
        <v>513</v>
      </c>
      <c r="I373" s="75" t="s">
        <v>2416</v>
      </c>
      <c r="J373" s="61" t="s">
        <v>91</v>
      </c>
    </row>
    <row r="374" spans="1:10" x14ac:dyDescent="0.25">
      <c r="A374" s="61" t="s">
        <v>69</v>
      </c>
      <c r="B374" s="61"/>
      <c r="C374" s="61" t="s">
        <v>214</v>
      </c>
      <c r="D374" s="61" t="s">
        <v>1971</v>
      </c>
      <c r="E374" s="61" t="s">
        <v>2244</v>
      </c>
      <c r="F374" s="77" t="s">
        <v>1619</v>
      </c>
      <c r="G374" s="61" t="s">
        <v>514</v>
      </c>
      <c r="H374" s="61" t="s">
        <v>515</v>
      </c>
      <c r="I374" s="75" t="s">
        <v>2417</v>
      </c>
      <c r="J374" s="61" t="s">
        <v>92</v>
      </c>
    </row>
    <row r="375" spans="1:10" x14ac:dyDescent="0.25">
      <c r="A375" s="61" t="s">
        <v>69</v>
      </c>
      <c r="B375" s="61"/>
      <c r="C375" s="61" t="s">
        <v>216</v>
      </c>
      <c r="D375" s="61" t="s">
        <v>1903</v>
      </c>
      <c r="E375" s="62" t="s">
        <v>2241</v>
      </c>
      <c r="F375" s="77" t="s">
        <v>1621</v>
      </c>
      <c r="G375" s="61" t="s">
        <v>518</v>
      </c>
      <c r="H375" s="61" t="s">
        <v>519</v>
      </c>
      <c r="I375" s="75" t="s">
        <v>2419</v>
      </c>
      <c r="J375" s="61" t="s">
        <v>165</v>
      </c>
    </row>
    <row r="376" spans="1:10" x14ac:dyDescent="0.25">
      <c r="A376" s="61" t="s">
        <v>69</v>
      </c>
      <c r="B376" s="61"/>
      <c r="C376" s="61" t="s">
        <v>202</v>
      </c>
      <c r="D376" s="61" t="s">
        <v>1952</v>
      </c>
      <c r="E376" s="61" t="s">
        <v>2185</v>
      </c>
      <c r="F376" s="77" t="s">
        <v>1608</v>
      </c>
      <c r="G376" s="61" t="s">
        <v>492</v>
      </c>
      <c r="H376" s="61" t="s">
        <v>493</v>
      </c>
      <c r="I376" s="75" t="s">
        <v>2407</v>
      </c>
      <c r="J376" s="61" t="s">
        <v>91</v>
      </c>
    </row>
    <row r="377" spans="1:10" x14ac:dyDescent="0.25">
      <c r="A377" s="61" t="s">
        <v>69</v>
      </c>
      <c r="B377" s="61"/>
      <c r="C377" s="61" t="s">
        <v>220</v>
      </c>
      <c r="D377" s="61" t="s">
        <v>1953</v>
      </c>
      <c r="E377" s="61" t="s">
        <v>2203</v>
      </c>
      <c r="F377" s="77" t="s">
        <v>1625</v>
      </c>
      <c r="G377" s="61" t="s">
        <v>526</v>
      </c>
      <c r="H377" s="61" t="s">
        <v>527</v>
      </c>
      <c r="I377" s="75" t="s">
        <v>2170</v>
      </c>
      <c r="J377" s="61" t="s">
        <v>92</v>
      </c>
    </row>
    <row r="378" spans="1:10" x14ac:dyDescent="0.25">
      <c r="A378" s="61" t="s">
        <v>82</v>
      </c>
      <c r="B378" s="72">
        <v>-99</v>
      </c>
      <c r="C378" s="61" t="s">
        <v>93</v>
      </c>
      <c r="D378" s="61" t="s">
        <v>1927</v>
      </c>
      <c r="E378" s="73" t="s">
        <v>2187</v>
      </c>
      <c r="F378" s="74" t="s">
        <v>2139</v>
      </c>
      <c r="G378" s="61" t="s">
        <v>277</v>
      </c>
      <c r="H378" s="61" t="s">
        <v>278</v>
      </c>
      <c r="I378" s="61" t="s">
        <v>2320</v>
      </c>
      <c r="J378" s="61" t="s">
        <v>91</v>
      </c>
    </row>
    <row r="379" spans="1:10" x14ac:dyDescent="0.25">
      <c r="A379" s="61" t="s">
        <v>82</v>
      </c>
      <c r="B379" s="61"/>
      <c r="C379" s="61" t="s">
        <v>259</v>
      </c>
      <c r="D379" s="61" t="s">
        <v>2064</v>
      </c>
      <c r="E379" s="61" t="s">
        <v>2228</v>
      </c>
      <c r="F379" s="77" t="s">
        <v>1596</v>
      </c>
      <c r="G379" s="61" t="s">
        <v>467</v>
      </c>
      <c r="H379" s="61" t="s">
        <v>468</v>
      </c>
      <c r="I379" s="75" t="s">
        <v>2402</v>
      </c>
      <c r="J379" s="61" t="s">
        <v>153</v>
      </c>
    </row>
    <row r="380" spans="1:10" x14ac:dyDescent="0.25">
      <c r="A380" s="61" t="s">
        <v>82</v>
      </c>
      <c r="B380" s="61"/>
      <c r="C380" s="61" t="s">
        <v>261</v>
      </c>
      <c r="D380" s="61" t="s">
        <v>2066</v>
      </c>
      <c r="E380" s="61" t="s">
        <v>2230</v>
      </c>
      <c r="F380" s="77" t="s">
        <v>1598</v>
      </c>
      <c r="G380" s="61" t="s">
        <v>471</v>
      </c>
      <c r="H380" s="61" t="s">
        <v>472</v>
      </c>
      <c r="I380" s="75" t="s">
        <v>2404</v>
      </c>
      <c r="J380" s="61" t="s">
        <v>153</v>
      </c>
    </row>
    <row r="381" spans="1:10" x14ac:dyDescent="0.25">
      <c r="A381" s="61" t="s">
        <v>82</v>
      </c>
      <c r="B381" s="61"/>
      <c r="C381" s="61" t="s">
        <v>258</v>
      </c>
      <c r="D381" s="61" t="s">
        <v>2052</v>
      </c>
      <c r="E381" s="61" t="s">
        <v>2227</v>
      </c>
      <c r="F381" s="77" t="s">
        <v>1595</v>
      </c>
      <c r="G381" s="61" t="s">
        <v>465</v>
      </c>
      <c r="H381" s="61" t="s">
        <v>466</v>
      </c>
      <c r="I381" s="75" t="s">
        <v>2401</v>
      </c>
      <c r="J381" s="61" t="s">
        <v>100</v>
      </c>
    </row>
    <row r="382" spans="1:10" x14ac:dyDescent="0.25">
      <c r="A382" s="61" t="s">
        <v>82</v>
      </c>
      <c r="B382" s="61"/>
      <c r="C382" s="61" t="s">
        <v>260</v>
      </c>
      <c r="D382" s="61" t="s">
        <v>2065</v>
      </c>
      <c r="E382" s="61" t="s">
        <v>2229</v>
      </c>
      <c r="F382" s="77" t="s">
        <v>1597</v>
      </c>
      <c r="G382" s="61" t="s">
        <v>469</v>
      </c>
      <c r="H382" s="61" t="s">
        <v>470</v>
      </c>
      <c r="I382" s="75" t="s">
        <v>2403</v>
      </c>
      <c r="J382" s="61" t="s">
        <v>153</v>
      </c>
    </row>
    <row r="383" spans="1:10" x14ac:dyDescent="0.25">
      <c r="A383" s="61" t="s">
        <v>85</v>
      </c>
      <c r="B383" s="72">
        <v>-99</v>
      </c>
      <c r="C383" s="61" t="s">
        <v>93</v>
      </c>
      <c r="D383" s="61" t="s">
        <v>1927</v>
      </c>
      <c r="E383" s="73" t="s">
        <v>2187</v>
      </c>
      <c r="F383" s="74" t="s">
        <v>2139</v>
      </c>
      <c r="G383" s="61" t="s">
        <v>277</v>
      </c>
      <c r="H383" s="61" t="s">
        <v>278</v>
      </c>
      <c r="I383" s="61" t="s">
        <v>2320</v>
      </c>
      <c r="J383" s="61" t="s">
        <v>91</v>
      </c>
    </row>
    <row r="384" spans="1:10" x14ac:dyDescent="0.25">
      <c r="A384" s="61" t="s">
        <v>85</v>
      </c>
      <c r="B384" s="61"/>
      <c r="C384" s="61" t="s">
        <v>263</v>
      </c>
      <c r="D384" s="61" t="s">
        <v>2053</v>
      </c>
      <c r="E384" s="61" t="s">
        <v>2284</v>
      </c>
      <c r="F384" s="77" t="s">
        <v>1599</v>
      </c>
      <c r="G384" s="61" t="s">
        <v>473</v>
      </c>
      <c r="H384" s="61" t="s">
        <v>474</v>
      </c>
      <c r="I384" s="75" t="s">
        <v>2480</v>
      </c>
      <c r="J384" s="61" t="s">
        <v>262</v>
      </c>
    </row>
    <row r="385" spans="1:10" x14ac:dyDescent="0.25">
      <c r="A385" s="61" t="s">
        <v>85</v>
      </c>
      <c r="B385" s="61"/>
      <c r="C385" s="61" t="s">
        <v>258</v>
      </c>
      <c r="D385" s="61" t="s">
        <v>2052</v>
      </c>
      <c r="E385" s="61" t="s">
        <v>2227</v>
      </c>
      <c r="F385" s="77" t="s">
        <v>1595</v>
      </c>
      <c r="G385" s="61" t="s">
        <v>465</v>
      </c>
      <c r="H385" s="61" t="s">
        <v>466</v>
      </c>
      <c r="I385" s="75" t="s">
        <v>2401</v>
      </c>
      <c r="J385" s="61" t="s">
        <v>100</v>
      </c>
    </row>
    <row r="386" spans="1:10" x14ac:dyDescent="0.25">
      <c r="A386" s="61" t="s">
        <v>85</v>
      </c>
      <c r="B386" s="61"/>
      <c r="C386" s="61" t="s">
        <v>265</v>
      </c>
      <c r="D386" s="61" t="s">
        <v>3380</v>
      </c>
      <c r="E386" s="61" t="s">
        <v>2231</v>
      </c>
      <c r="F386" s="77" t="s">
        <v>1601</v>
      </c>
      <c r="G386" s="61" t="s">
        <v>477</v>
      </c>
      <c r="H386" s="61" t="s">
        <v>478</v>
      </c>
      <c r="I386" s="75" t="s">
        <v>2405</v>
      </c>
      <c r="J386" s="61" t="s">
        <v>163</v>
      </c>
    </row>
    <row r="387" spans="1:10" x14ac:dyDescent="0.25">
      <c r="A387" s="61" t="s">
        <v>85</v>
      </c>
      <c r="B387" s="61"/>
      <c r="C387" s="61" t="s">
        <v>264</v>
      </c>
      <c r="D387" s="61" t="s">
        <v>3381</v>
      </c>
      <c r="E387" s="61" t="s">
        <v>2285</v>
      </c>
      <c r="F387" s="77" t="s">
        <v>1600</v>
      </c>
      <c r="G387" s="61" t="s">
        <v>475</v>
      </c>
      <c r="H387" s="61" t="s">
        <v>476</v>
      </c>
      <c r="I387" s="75" t="s">
        <v>2481</v>
      </c>
      <c r="J387" s="61" t="s">
        <v>262</v>
      </c>
    </row>
    <row r="388" spans="1:10" x14ac:dyDescent="0.25">
      <c r="A388" s="61" t="s">
        <v>448</v>
      </c>
      <c r="B388" s="72">
        <v>-99</v>
      </c>
      <c r="C388" s="61" t="s">
        <v>93</v>
      </c>
      <c r="D388" s="63" t="s">
        <v>1927</v>
      </c>
      <c r="E388" s="73" t="s">
        <v>2187</v>
      </c>
      <c r="F388" s="74" t="s">
        <v>2139</v>
      </c>
      <c r="G388" s="61" t="s">
        <v>277</v>
      </c>
      <c r="H388" s="61" t="s">
        <v>278</v>
      </c>
      <c r="I388" s="75" t="s">
        <v>2320</v>
      </c>
      <c r="J388" s="61" t="s">
        <v>91</v>
      </c>
    </row>
    <row r="389" spans="1:10" x14ac:dyDescent="0.25">
      <c r="A389" s="61" t="s">
        <v>448</v>
      </c>
      <c r="B389" s="68">
        <v>1</v>
      </c>
      <c r="C389" s="61" t="s">
        <v>127</v>
      </c>
      <c r="D389" s="63" t="s">
        <v>1926</v>
      </c>
      <c r="E389" s="61" t="s">
        <v>2155</v>
      </c>
      <c r="F389" s="61"/>
      <c r="G389" s="61" t="s">
        <v>340</v>
      </c>
      <c r="H389" s="61" t="s">
        <v>341</v>
      </c>
      <c r="I389" s="75" t="s">
        <v>2345</v>
      </c>
      <c r="J389" s="61" t="s">
        <v>100</v>
      </c>
    </row>
    <row r="390" spans="1:10" x14ac:dyDescent="0.25">
      <c r="A390" s="61" t="s">
        <v>448</v>
      </c>
      <c r="B390" s="68">
        <v>2</v>
      </c>
      <c r="C390" s="61" t="s">
        <v>1980</v>
      </c>
      <c r="D390" s="63" t="s">
        <v>275</v>
      </c>
      <c r="E390" s="61" t="s">
        <v>2183</v>
      </c>
      <c r="F390" s="61"/>
      <c r="G390" s="61" t="s">
        <v>2075</v>
      </c>
      <c r="H390" s="61" t="s">
        <v>2078</v>
      </c>
      <c r="I390" s="75" t="s">
        <v>2451</v>
      </c>
      <c r="J390" s="61" t="s">
        <v>91</v>
      </c>
    </row>
    <row r="391" spans="1:10" x14ac:dyDescent="0.25">
      <c r="A391" s="61" t="s">
        <v>448</v>
      </c>
      <c r="B391" s="68">
        <v>3</v>
      </c>
      <c r="C391" s="61" t="s">
        <v>1986</v>
      </c>
      <c r="D391" s="64" t="s">
        <v>2061</v>
      </c>
      <c r="E391" s="61" t="s">
        <v>2267</v>
      </c>
      <c r="F391" s="61"/>
      <c r="G391" s="61" t="s">
        <v>2077</v>
      </c>
      <c r="H391" s="61" t="s">
        <v>1985</v>
      </c>
      <c r="I391" s="75" t="s">
        <v>2450</v>
      </c>
      <c r="J391" s="61" t="s">
        <v>92</v>
      </c>
    </row>
    <row r="392" spans="1:10" x14ac:dyDescent="0.25">
      <c r="A392" s="61" t="s">
        <v>448</v>
      </c>
      <c r="B392" s="68">
        <v>3</v>
      </c>
      <c r="C392" s="61" t="s">
        <v>1984</v>
      </c>
      <c r="D392" s="63" t="s">
        <v>1899</v>
      </c>
      <c r="E392" s="61" t="s">
        <v>2181</v>
      </c>
      <c r="F392" s="61"/>
      <c r="G392" s="61" t="s">
        <v>2076</v>
      </c>
      <c r="H392" s="61" t="s">
        <v>2079</v>
      </c>
      <c r="I392" s="75" t="s">
        <v>2452</v>
      </c>
      <c r="J392" s="61" t="s">
        <v>91</v>
      </c>
    </row>
    <row r="393" spans="1:10" x14ac:dyDescent="0.25">
      <c r="A393" s="57" t="s">
        <v>448</v>
      </c>
      <c r="B393" s="68">
        <v>4</v>
      </c>
      <c r="C393" s="63" t="s">
        <v>2765</v>
      </c>
      <c r="D393" s="63" t="s">
        <v>3353</v>
      </c>
      <c r="E393" s="63"/>
      <c r="F393" s="63"/>
      <c r="G393" s="63" t="s">
        <v>3197</v>
      </c>
      <c r="H393" s="57" t="s">
        <v>2969</v>
      </c>
      <c r="I393" s="63"/>
      <c r="J393" s="57" t="s">
        <v>100</v>
      </c>
    </row>
    <row r="394" spans="1:10" x14ac:dyDescent="0.25">
      <c r="A394" s="61" t="s">
        <v>449</v>
      </c>
      <c r="B394" s="72">
        <v>-99</v>
      </c>
      <c r="C394" s="61" t="s">
        <v>93</v>
      </c>
      <c r="D394" s="61" t="s">
        <v>1927</v>
      </c>
      <c r="E394" s="73" t="s">
        <v>2187</v>
      </c>
      <c r="F394" s="74" t="s">
        <v>2139</v>
      </c>
      <c r="G394" s="61" t="s">
        <v>277</v>
      </c>
      <c r="H394" s="61" t="s">
        <v>278</v>
      </c>
      <c r="I394" s="75" t="s">
        <v>2320</v>
      </c>
      <c r="J394" s="61" t="s">
        <v>91</v>
      </c>
    </row>
    <row r="395" spans="1:10" x14ac:dyDescent="0.25">
      <c r="A395" s="61" t="s">
        <v>449</v>
      </c>
      <c r="B395" s="68">
        <v>1</v>
      </c>
      <c r="C395" s="61" t="s">
        <v>127</v>
      </c>
      <c r="D395" s="61" t="s">
        <v>1954</v>
      </c>
      <c r="E395" s="61" t="s">
        <v>2184</v>
      </c>
      <c r="F395" s="61"/>
      <c r="G395" s="61" t="s">
        <v>340</v>
      </c>
      <c r="H395" s="61" t="s">
        <v>341</v>
      </c>
      <c r="I395" s="75" t="s">
        <v>2345</v>
      </c>
      <c r="J395" s="61" t="s">
        <v>100</v>
      </c>
    </row>
    <row r="396" spans="1:10" x14ac:dyDescent="0.25">
      <c r="A396" s="61" t="s">
        <v>449</v>
      </c>
      <c r="B396" s="68">
        <v>2</v>
      </c>
      <c r="C396" s="61" t="s">
        <v>1989</v>
      </c>
      <c r="D396" s="61" t="s">
        <v>2063</v>
      </c>
      <c r="E396" s="61" t="s">
        <v>2182</v>
      </c>
      <c r="F396" s="61"/>
      <c r="G396" s="61" t="s">
        <v>2080</v>
      </c>
      <c r="H396" s="61" t="s">
        <v>1988</v>
      </c>
      <c r="I396" s="75" t="s">
        <v>2453</v>
      </c>
      <c r="J396" s="61" t="s">
        <v>153</v>
      </c>
    </row>
    <row r="397" spans="1:10" x14ac:dyDescent="0.25">
      <c r="A397" s="61" t="s">
        <v>449</v>
      </c>
      <c r="B397" s="68">
        <v>2</v>
      </c>
      <c r="C397" s="63" t="s">
        <v>2766</v>
      </c>
      <c r="D397" s="63" t="s">
        <v>3354</v>
      </c>
      <c r="E397" s="63"/>
      <c r="F397" s="63"/>
      <c r="G397" s="63" t="s">
        <v>3198</v>
      </c>
      <c r="H397" s="57" t="s">
        <v>2970</v>
      </c>
      <c r="I397" s="63"/>
      <c r="J397" s="57" t="s">
        <v>3004</v>
      </c>
    </row>
    <row r="398" spans="1:10" x14ac:dyDescent="0.25">
      <c r="A398" s="61" t="s">
        <v>449</v>
      </c>
      <c r="B398" s="68">
        <v>3</v>
      </c>
      <c r="C398" s="63" t="s">
        <v>2767</v>
      </c>
      <c r="D398" s="63" t="s">
        <v>3355</v>
      </c>
      <c r="E398" s="63"/>
      <c r="F398" s="63"/>
      <c r="G398" s="63" t="s">
        <v>3199</v>
      </c>
      <c r="H398" s="57" t="s">
        <v>2971</v>
      </c>
      <c r="I398" s="63"/>
      <c r="J398" s="57" t="s">
        <v>3005</v>
      </c>
    </row>
    <row r="399" spans="1:10" x14ac:dyDescent="0.25">
      <c r="A399" s="61" t="s">
        <v>449</v>
      </c>
      <c r="B399" s="68">
        <v>4</v>
      </c>
      <c r="C399" s="61" t="s">
        <v>1990</v>
      </c>
      <c r="D399" s="61" t="s">
        <v>1991</v>
      </c>
      <c r="E399" s="62" t="s">
        <v>2268</v>
      </c>
      <c r="F399" s="61"/>
      <c r="G399" s="61" t="s">
        <v>2082</v>
      </c>
      <c r="H399" s="61" t="s">
        <v>2081</v>
      </c>
      <c r="I399" s="75" t="s">
        <v>2454</v>
      </c>
      <c r="J399" s="61" t="s">
        <v>91</v>
      </c>
    </row>
    <row r="400" spans="1:10" x14ac:dyDescent="0.25">
      <c r="A400" s="61" t="s">
        <v>449</v>
      </c>
      <c r="B400" s="68">
        <v>5</v>
      </c>
      <c r="C400" s="63" t="s">
        <v>2768</v>
      </c>
      <c r="D400" s="57" t="s">
        <v>3382</v>
      </c>
      <c r="E400" s="63"/>
      <c r="F400" s="63"/>
      <c r="G400" s="63" t="s">
        <v>3200</v>
      </c>
      <c r="H400" s="57" t="s">
        <v>2972</v>
      </c>
      <c r="I400" s="63"/>
      <c r="J400" s="57" t="s">
        <v>100</v>
      </c>
    </row>
    <row r="401" spans="1:10" x14ac:dyDescent="0.25">
      <c r="A401" s="61" t="s">
        <v>449</v>
      </c>
      <c r="B401" s="68">
        <v>6</v>
      </c>
      <c r="C401" s="61" t="s">
        <v>1981</v>
      </c>
      <c r="D401" s="61" t="s">
        <v>1987</v>
      </c>
      <c r="E401" s="61" t="s">
        <v>2271</v>
      </c>
      <c r="F401" s="61"/>
      <c r="G401" s="61" t="s">
        <v>2083</v>
      </c>
      <c r="H401" s="61" t="s">
        <v>2084</v>
      </c>
      <c r="I401" s="75" t="s">
        <v>2269</v>
      </c>
      <c r="J401" s="61" t="s">
        <v>92</v>
      </c>
    </row>
    <row r="402" spans="1:10" x14ac:dyDescent="0.25">
      <c r="A402" s="61" t="s">
        <v>449</v>
      </c>
      <c r="B402" s="68">
        <v>7</v>
      </c>
      <c r="C402" s="61" t="s">
        <v>1982</v>
      </c>
      <c r="D402" s="61" t="s">
        <v>1983</v>
      </c>
      <c r="E402" s="61" t="s">
        <v>2270</v>
      </c>
      <c r="F402" s="61"/>
      <c r="G402" s="61" t="s">
        <v>2085</v>
      </c>
      <c r="H402" s="61" t="s">
        <v>2086</v>
      </c>
      <c r="I402" s="75" t="s">
        <v>2455</v>
      </c>
      <c r="J402" s="61" t="s">
        <v>156</v>
      </c>
    </row>
    <row r="403" spans="1:10" x14ac:dyDescent="0.25">
      <c r="A403" s="61" t="s">
        <v>449</v>
      </c>
      <c r="B403" s="68">
        <v>8</v>
      </c>
      <c r="C403" s="63" t="s">
        <v>2770</v>
      </c>
      <c r="D403" s="63" t="s">
        <v>3356</v>
      </c>
      <c r="E403" s="63"/>
      <c r="F403" s="63"/>
      <c r="G403" s="63" t="s">
        <v>3202</v>
      </c>
      <c r="H403" s="57" t="s">
        <v>2974</v>
      </c>
      <c r="I403" s="63"/>
      <c r="J403" s="57" t="s">
        <v>3021</v>
      </c>
    </row>
    <row r="404" spans="1:10" x14ac:dyDescent="0.25">
      <c r="A404" s="61" t="s">
        <v>449</v>
      </c>
      <c r="B404" s="68">
        <v>8</v>
      </c>
      <c r="C404" s="63" t="s">
        <v>2769</v>
      </c>
      <c r="D404" s="63" t="s">
        <v>3357</v>
      </c>
      <c r="E404" s="63"/>
      <c r="F404" s="63"/>
      <c r="G404" s="63" t="s">
        <v>3201</v>
      </c>
      <c r="H404" s="57" t="s">
        <v>2973</v>
      </c>
      <c r="I404" s="63"/>
      <c r="J404" s="57" t="s">
        <v>195</v>
      </c>
    </row>
    <row r="405" spans="1:10" x14ac:dyDescent="0.25">
      <c r="A405" s="61" t="s">
        <v>87</v>
      </c>
      <c r="B405" s="72">
        <v>-99</v>
      </c>
      <c r="C405" s="61" t="s">
        <v>93</v>
      </c>
      <c r="D405" s="61" t="s">
        <v>2063</v>
      </c>
      <c r="E405" s="61" t="s">
        <v>2182</v>
      </c>
      <c r="F405" s="77" t="s">
        <v>1515</v>
      </c>
      <c r="G405" s="61" t="s">
        <v>277</v>
      </c>
      <c r="H405" s="61" t="s">
        <v>278</v>
      </c>
      <c r="I405" s="61" t="s">
        <v>2320</v>
      </c>
      <c r="J405" s="61" t="s">
        <v>91</v>
      </c>
    </row>
    <row r="406" spans="1:10" x14ac:dyDescent="0.25">
      <c r="A406" s="61" t="s">
        <v>87</v>
      </c>
      <c r="B406" s="61"/>
      <c r="C406" s="61" t="s">
        <v>268</v>
      </c>
      <c r="D406" s="63" t="s">
        <v>3358</v>
      </c>
      <c r="E406" s="61" t="s">
        <v>2235</v>
      </c>
      <c r="F406" s="77" t="s">
        <v>1603</v>
      </c>
      <c r="G406" s="61" t="s">
        <v>482</v>
      </c>
      <c r="H406" s="61" t="s">
        <v>483</v>
      </c>
      <c r="I406" s="75" t="s">
        <v>2233</v>
      </c>
      <c r="J406" s="61" t="s">
        <v>139</v>
      </c>
    </row>
    <row r="407" spans="1:10" x14ac:dyDescent="0.25">
      <c r="A407" s="61" t="s">
        <v>87</v>
      </c>
      <c r="B407" s="61"/>
      <c r="C407" s="61" t="s">
        <v>267</v>
      </c>
      <c r="D407" s="63" t="s">
        <v>3359</v>
      </c>
      <c r="E407" s="61" t="s">
        <v>2232</v>
      </c>
      <c r="F407" s="77" t="s">
        <v>1602</v>
      </c>
      <c r="G407" s="61" t="s">
        <v>480</v>
      </c>
      <c r="H407" s="61" t="s">
        <v>481</v>
      </c>
      <c r="I407" s="75" t="s">
        <v>2232</v>
      </c>
      <c r="J407" s="61" t="s">
        <v>153</v>
      </c>
    </row>
    <row r="408" spans="1:10" x14ac:dyDescent="0.25">
      <c r="A408" s="61" t="s">
        <v>87</v>
      </c>
      <c r="B408" s="61"/>
      <c r="C408" s="61" t="s">
        <v>270</v>
      </c>
      <c r="D408" s="63" t="s">
        <v>3360</v>
      </c>
      <c r="E408" s="61" t="s">
        <v>2288</v>
      </c>
      <c r="F408" s="77" t="s">
        <v>1605</v>
      </c>
      <c r="G408" s="61" t="s">
        <v>486</v>
      </c>
      <c r="H408" s="61" t="s">
        <v>487</v>
      </c>
      <c r="I408" s="75" t="s">
        <v>2483</v>
      </c>
      <c r="J408" s="61" t="s">
        <v>262</v>
      </c>
    </row>
    <row r="409" spans="1:10" x14ac:dyDescent="0.25">
      <c r="A409" s="61" t="s">
        <v>87</v>
      </c>
      <c r="B409" s="61"/>
      <c r="C409" s="61" t="s">
        <v>272</v>
      </c>
      <c r="D409" s="61" t="s">
        <v>3383</v>
      </c>
      <c r="E409" s="61" t="s">
        <v>2234</v>
      </c>
      <c r="F409" s="77" t="s">
        <v>1607</v>
      </c>
      <c r="G409" s="61" t="s">
        <v>490</v>
      </c>
      <c r="H409" s="61" t="s">
        <v>491</v>
      </c>
      <c r="I409" s="75" t="s">
        <v>2406</v>
      </c>
      <c r="J409" s="61" t="s">
        <v>266</v>
      </c>
    </row>
    <row r="410" spans="1:10" x14ac:dyDescent="0.25">
      <c r="A410" s="61" t="s">
        <v>87</v>
      </c>
      <c r="B410" s="61"/>
      <c r="C410" s="61" t="s">
        <v>271</v>
      </c>
      <c r="D410" s="63" t="s">
        <v>3361</v>
      </c>
      <c r="E410" s="61" t="s">
        <v>2287</v>
      </c>
      <c r="F410" s="77" t="s">
        <v>1606</v>
      </c>
      <c r="G410" s="61" t="s">
        <v>488</v>
      </c>
      <c r="H410" s="61" t="s">
        <v>489</v>
      </c>
      <c r="I410" s="75" t="s">
        <v>2484</v>
      </c>
      <c r="J410" s="61" t="s">
        <v>262</v>
      </c>
    </row>
    <row r="411" spans="1:10" x14ac:dyDescent="0.25">
      <c r="A411" s="61" t="s">
        <v>87</v>
      </c>
      <c r="B411" s="61"/>
      <c r="C411" s="61" t="s">
        <v>258</v>
      </c>
      <c r="D411" s="61" t="s">
        <v>2052</v>
      </c>
      <c r="E411" s="61" t="s">
        <v>2227</v>
      </c>
      <c r="F411" s="77" t="s">
        <v>1595</v>
      </c>
      <c r="G411" s="61" t="s">
        <v>465</v>
      </c>
      <c r="H411" s="61" t="s">
        <v>466</v>
      </c>
      <c r="I411" s="75" t="s">
        <v>2401</v>
      </c>
      <c r="J411" s="61" t="s">
        <v>100</v>
      </c>
    </row>
    <row r="412" spans="1:10" x14ac:dyDescent="0.25">
      <c r="A412" s="61" t="s">
        <v>87</v>
      </c>
      <c r="B412" s="61"/>
      <c r="C412" s="61" t="s">
        <v>269</v>
      </c>
      <c r="D412" s="63" t="s">
        <v>3362</v>
      </c>
      <c r="E412" s="62" t="s">
        <v>2286</v>
      </c>
      <c r="F412" s="77" t="s">
        <v>1604</v>
      </c>
      <c r="G412" s="61" t="s">
        <v>484</v>
      </c>
      <c r="H412" s="61" t="s">
        <v>485</v>
      </c>
      <c r="I412" s="75" t="s">
        <v>2482</v>
      </c>
      <c r="J412" s="61" t="s">
        <v>262</v>
      </c>
    </row>
    <row r="413" spans="1:10" x14ac:dyDescent="0.25">
      <c r="A413" s="61" t="s">
        <v>479</v>
      </c>
      <c r="B413" s="61"/>
      <c r="C413" s="61" t="s">
        <v>267</v>
      </c>
      <c r="D413" s="61" t="s">
        <v>1927</v>
      </c>
      <c r="E413" s="73" t="s">
        <v>2187</v>
      </c>
      <c r="F413" s="74" t="s">
        <v>2139</v>
      </c>
      <c r="G413" s="61" t="s">
        <v>480</v>
      </c>
      <c r="H413" s="61" t="s">
        <v>481</v>
      </c>
      <c r="I413" s="75" t="s">
        <v>2232</v>
      </c>
      <c r="J413" s="61" t="s">
        <v>153</v>
      </c>
    </row>
    <row r="414" spans="1:10" x14ac:dyDescent="0.25">
      <c r="A414" s="61" t="s">
        <v>479</v>
      </c>
      <c r="B414" s="61"/>
      <c r="C414" s="61" t="s">
        <v>258</v>
      </c>
      <c r="D414" s="61" t="s">
        <v>2052</v>
      </c>
      <c r="E414" s="61" t="s">
        <v>2227</v>
      </c>
      <c r="F414" s="77" t="s">
        <v>1595</v>
      </c>
      <c r="G414" s="61" t="s">
        <v>465</v>
      </c>
      <c r="H414" s="61" t="s">
        <v>466</v>
      </c>
      <c r="I414" s="75" t="s">
        <v>2401</v>
      </c>
      <c r="J414" s="61" t="s">
        <v>100</v>
      </c>
    </row>
    <row r="415" spans="1:10" x14ac:dyDescent="0.25">
      <c r="A415" s="61" t="s">
        <v>53</v>
      </c>
      <c r="B415" s="72">
        <v>-99</v>
      </c>
      <c r="C415" s="61" t="s">
        <v>93</v>
      </c>
      <c r="D415" s="61" t="s">
        <v>1927</v>
      </c>
      <c r="E415" s="73" t="s">
        <v>2187</v>
      </c>
      <c r="F415" s="74" t="s">
        <v>2139</v>
      </c>
      <c r="G415" s="61" t="s">
        <v>277</v>
      </c>
      <c r="H415" s="61" t="s">
        <v>278</v>
      </c>
      <c r="I415" s="61" t="s">
        <v>2320</v>
      </c>
      <c r="J415" s="61" t="s">
        <v>91</v>
      </c>
    </row>
    <row r="416" spans="1:10" x14ac:dyDescent="0.25">
      <c r="A416" s="57" t="s">
        <v>53</v>
      </c>
      <c r="B416" s="60">
        <v>1</v>
      </c>
      <c r="C416" s="63" t="s">
        <v>2599</v>
      </c>
      <c r="D416" s="63" t="s">
        <v>3363</v>
      </c>
      <c r="E416" s="63"/>
      <c r="F416" s="63"/>
      <c r="G416" s="63" t="s">
        <v>3023</v>
      </c>
      <c r="H416" s="57" t="s">
        <v>2804</v>
      </c>
      <c r="I416" s="63"/>
      <c r="J416" s="57" t="s">
        <v>100</v>
      </c>
    </row>
    <row r="417" spans="1:10" x14ac:dyDescent="0.25">
      <c r="A417" s="61" t="s">
        <v>53</v>
      </c>
      <c r="B417" s="68">
        <v>3</v>
      </c>
      <c r="C417" s="61" t="s">
        <v>116</v>
      </c>
      <c r="D417" s="61" t="s">
        <v>1926</v>
      </c>
      <c r="E417" s="61" t="s">
        <v>2155</v>
      </c>
      <c r="F417" s="77" t="s">
        <v>1531</v>
      </c>
      <c r="G417" s="61" t="s">
        <v>318</v>
      </c>
      <c r="H417" s="61" t="s">
        <v>319</v>
      </c>
      <c r="I417" s="61" t="s">
        <v>2223</v>
      </c>
      <c r="J417" s="61" t="s">
        <v>100</v>
      </c>
    </row>
    <row r="418" spans="1:10" x14ac:dyDescent="0.25">
      <c r="A418" s="57" t="s">
        <v>53</v>
      </c>
      <c r="B418" s="68">
        <v>4</v>
      </c>
      <c r="C418" s="63" t="s">
        <v>2600</v>
      </c>
      <c r="D418" s="63" t="s">
        <v>3364</v>
      </c>
      <c r="E418" s="63"/>
      <c r="F418" s="63"/>
      <c r="G418" s="63" t="s">
        <v>3024</v>
      </c>
      <c r="H418" s="57" t="s">
        <v>2805</v>
      </c>
      <c r="I418" s="63"/>
      <c r="J418" s="57" t="s">
        <v>100</v>
      </c>
    </row>
    <row r="419" spans="1:10" x14ac:dyDescent="0.25">
      <c r="A419" s="57" t="s">
        <v>53</v>
      </c>
      <c r="B419" s="68">
        <v>5</v>
      </c>
      <c r="C419" s="63" t="s">
        <v>2601</v>
      </c>
      <c r="D419" s="63" t="s">
        <v>3364</v>
      </c>
      <c r="E419" s="63"/>
      <c r="F419" s="63"/>
      <c r="G419" s="63" t="s">
        <v>3025</v>
      </c>
      <c r="H419" s="57" t="s">
        <v>2806</v>
      </c>
      <c r="I419" s="63"/>
      <c r="J419" s="57" t="s">
        <v>100</v>
      </c>
    </row>
    <row r="420" spans="1:10" x14ac:dyDescent="0.25">
      <c r="A420" s="57" t="s">
        <v>53</v>
      </c>
      <c r="B420" s="68">
        <v>6</v>
      </c>
      <c r="C420" s="63" t="s">
        <v>2602</v>
      </c>
      <c r="D420" s="63" t="s">
        <v>3365</v>
      </c>
      <c r="E420" s="63"/>
      <c r="F420" s="63"/>
      <c r="G420" s="63" t="s">
        <v>3026</v>
      </c>
      <c r="H420" s="57" t="s">
        <v>2807</v>
      </c>
      <c r="I420" s="63"/>
      <c r="J420" s="57" t="s">
        <v>100</v>
      </c>
    </row>
    <row r="421" spans="1:10" x14ac:dyDescent="0.25">
      <c r="A421" s="57" t="s">
        <v>53</v>
      </c>
      <c r="B421" s="68">
        <v>7</v>
      </c>
      <c r="C421" s="63" t="s">
        <v>2603</v>
      </c>
      <c r="D421" s="63" t="s">
        <v>3366</v>
      </c>
      <c r="E421" s="63"/>
      <c r="F421" s="63"/>
      <c r="G421" s="63" t="s">
        <v>634</v>
      </c>
      <c r="H421" s="57" t="s">
        <v>2808</v>
      </c>
      <c r="I421" s="63"/>
      <c r="J421" s="57" t="s">
        <v>100</v>
      </c>
    </row>
    <row r="422" spans="1:10" x14ac:dyDescent="0.25">
      <c r="A422" s="61" t="s">
        <v>53</v>
      </c>
      <c r="B422" s="68">
        <v>8</v>
      </c>
      <c r="C422" s="61" t="s">
        <v>117</v>
      </c>
      <c r="D422" s="61" t="s">
        <v>321</v>
      </c>
      <c r="E422" s="61" t="s">
        <v>2159</v>
      </c>
      <c r="F422" s="77" t="s">
        <v>1532</v>
      </c>
      <c r="G422" s="61" t="s">
        <v>320</v>
      </c>
      <c r="H422" s="61" t="s">
        <v>321</v>
      </c>
      <c r="I422" s="61" t="s">
        <v>2159</v>
      </c>
      <c r="J422" s="61" t="s">
        <v>91</v>
      </c>
    </row>
    <row r="423" spans="1:10" x14ac:dyDescent="0.25">
      <c r="A423" s="61" t="s">
        <v>53</v>
      </c>
      <c r="B423" s="68">
        <v>9</v>
      </c>
      <c r="C423" s="61" t="s">
        <v>118</v>
      </c>
      <c r="D423" s="61" t="s">
        <v>1959</v>
      </c>
      <c r="E423" s="61" t="s">
        <v>2189</v>
      </c>
      <c r="F423" s="77" t="s">
        <v>1533</v>
      </c>
      <c r="G423" s="61" t="s">
        <v>322</v>
      </c>
      <c r="H423" s="61" t="s">
        <v>323</v>
      </c>
      <c r="I423" s="61" t="s">
        <v>2504</v>
      </c>
      <c r="J423" s="61" t="s">
        <v>100</v>
      </c>
    </row>
    <row r="424" spans="1:10" x14ac:dyDescent="0.25">
      <c r="A424" s="61" t="s">
        <v>53</v>
      </c>
      <c r="B424" s="68">
        <v>11</v>
      </c>
      <c r="C424" s="61" t="s">
        <v>119</v>
      </c>
      <c r="D424" s="61" t="s">
        <v>1960</v>
      </c>
      <c r="E424" s="61" t="s">
        <v>2190</v>
      </c>
      <c r="F424" s="77" t="s">
        <v>1534</v>
      </c>
      <c r="G424" s="61" t="s">
        <v>324</v>
      </c>
      <c r="H424" s="61" t="s">
        <v>325</v>
      </c>
      <c r="I424" s="61" t="s">
        <v>2503</v>
      </c>
      <c r="J424" s="61" t="s">
        <v>100</v>
      </c>
    </row>
    <row r="425" spans="1:10" x14ac:dyDescent="0.25">
      <c r="A425" s="61" t="s">
        <v>53</v>
      </c>
      <c r="B425" s="68">
        <v>13</v>
      </c>
      <c r="C425" s="61" t="s">
        <v>120</v>
      </c>
      <c r="D425" s="61" t="s">
        <v>1961</v>
      </c>
      <c r="E425" s="61" t="s">
        <v>2191</v>
      </c>
      <c r="F425" s="77" t="s">
        <v>1535</v>
      </c>
      <c r="G425" s="61" t="s">
        <v>326</v>
      </c>
      <c r="H425" s="61" t="s">
        <v>327</v>
      </c>
      <c r="I425" s="61" t="s">
        <v>2502</v>
      </c>
      <c r="J425" s="61" t="s">
        <v>100</v>
      </c>
    </row>
    <row r="426" spans="1:10" x14ac:dyDescent="0.25">
      <c r="A426" s="61" t="s">
        <v>53</v>
      </c>
      <c r="B426" s="68">
        <v>15</v>
      </c>
      <c r="C426" s="61" t="s">
        <v>121</v>
      </c>
      <c r="D426" s="61" t="s">
        <v>1962</v>
      </c>
      <c r="E426" s="61" t="s">
        <v>2192</v>
      </c>
      <c r="F426" s="77" t="s">
        <v>1536</v>
      </c>
      <c r="G426" s="61" t="s">
        <v>328</v>
      </c>
      <c r="H426" s="61" t="s">
        <v>329</v>
      </c>
      <c r="I426" s="61" t="s">
        <v>2501</v>
      </c>
      <c r="J426" s="61" t="s">
        <v>100</v>
      </c>
    </row>
    <row r="427" spans="1:10" x14ac:dyDescent="0.25">
      <c r="A427" s="61" t="s">
        <v>53</v>
      </c>
      <c r="B427" s="68">
        <v>17</v>
      </c>
      <c r="C427" s="61" t="s">
        <v>122</v>
      </c>
      <c r="D427" s="61" t="s">
        <v>1963</v>
      </c>
      <c r="E427" s="62" t="s">
        <v>2193</v>
      </c>
      <c r="F427" s="77" t="s">
        <v>1537</v>
      </c>
      <c r="G427" s="61" t="s">
        <v>330</v>
      </c>
      <c r="H427" s="61" t="s">
        <v>331</v>
      </c>
      <c r="I427" s="61" t="s">
        <v>2500</v>
      </c>
      <c r="J427" s="61" t="s">
        <v>100</v>
      </c>
    </row>
    <row r="428" spans="1:10" x14ac:dyDescent="0.25">
      <c r="A428" s="61" t="s">
        <v>53</v>
      </c>
      <c r="B428" s="68">
        <v>19</v>
      </c>
      <c r="C428" s="61" t="s">
        <v>123</v>
      </c>
      <c r="D428" s="61" t="s">
        <v>1964</v>
      </c>
      <c r="E428" s="61" t="s">
        <v>2194</v>
      </c>
      <c r="F428" s="77" t="s">
        <v>1659</v>
      </c>
      <c r="G428" s="61" t="s">
        <v>332</v>
      </c>
      <c r="H428" s="61" t="s">
        <v>333</v>
      </c>
      <c r="I428" s="61" t="s">
        <v>2341</v>
      </c>
      <c r="J428" s="61" t="s">
        <v>100</v>
      </c>
    </row>
    <row r="429" spans="1:10" x14ac:dyDescent="0.25">
      <c r="A429" s="61" t="s">
        <v>53</v>
      </c>
      <c r="B429" s="68">
        <v>21</v>
      </c>
      <c r="C429" s="61" t="s">
        <v>124</v>
      </c>
      <c r="D429" s="61" t="s">
        <v>1965</v>
      </c>
      <c r="E429" s="61" t="s">
        <v>2195</v>
      </c>
      <c r="F429" s="77" t="s">
        <v>1538</v>
      </c>
      <c r="G429" s="61" t="s">
        <v>334</v>
      </c>
      <c r="H429" s="61" t="s">
        <v>335</v>
      </c>
      <c r="I429" s="61" t="s">
        <v>2342</v>
      </c>
      <c r="J429" s="61" t="s">
        <v>100</v>
      </c>
    </row>
    <row r="430" spans="1:10" x14ac:dyDescent="0.25">
      <c r="A430" s="61" t="s">
        <v>53</v>
      </c>
      <c r="B430" s="68">
        <v>23</v>
      </c>
      <c r="C430" s="61" t="s">
        <v>125</v>
      </c>
      <c r="D430" s="61" t="s">
        <v>1966</v>
      </c>
      <c r="E430" s="61" t="s">
        <v>2196</v>
      </c>
      <c r="F430" s="77" t="s">
        <v>1539</v>
      </c>
      <c r="G430" s="61" t="s">
        <v>336</v>
      </c>
      <c r="H430" s="61" t="s">
        <v>337</v>
      </c>
      <c r="I430" s="61" t="s">
        <v>2493</v>
      </c>
      <c r="J430" s="61" t="s">
        <v>100</v>
      </c>
    </row>
    <row r="431" spans="1:10" x14ac:dyDescent="0.25">
      <c r="A431" s="61" t="s">
        <v>53</v>
      </c>
      <c r="B431" s="68">
        <v>25</v>
      </c>
      <c r="C431" s="61" t="s">
        <v>126</v>
      </c>
      <c r="D431" s="61" t="s">
        <v>1967</v>
      </c>
      <c r="E431" s="62" t="s">
        <v>2274</v>
      </c>
      <c r="F431" s="77" t="s">
        <v>1540</v>
      </c>
      <c r="G431" s="61" t="s">
        <v>338</v>
      </c>
      <c r="H431" s="61" t="s">
        <v>339</v>
      </c>
      <c r="I431" s="61" t="s">
        <v>2494</v>
      </c>
      <c r="J431" s="61" t="s">
        <v>100</v>
      </c>
    </row>
    <row r="432" spans="1:10" x14ac:dyDescent="0.25">
      <c r="A432" s="61" t="s">
        <v>53</v>
      </c>
      <c r="B432" s="68">
        <v>27</v>
      </c>
      <c r="C432" s="61" t="s">
        <v>127</v>
      </c>
      <c r="D432" s="61" t="s">
        <v>1968</v>
      </c>
      <c r="E432" s="61" t="s">
        <v>2197</v>
      </c>
      <c r="F432" s="77" t="s">
        <v>1541</v>
      </c>
      <c r="G432" s="61" t="s">
        <v>340</v>
      </c>
      <c r="H432" s="61" t="s">
        <v>341</v>
      </c>
      <c r="I432" s="61" t="s">
        <v>2495</v>
      </c>
      <c r="J432" s="61" t="s">
        <v>100</v>
      </c>
    </row>
    <row r="433" spans="1:10" x14ac:dyDescent="0.25">
      <c r="A433" s="61" t="s">
        <v>53</v>
      </c>
      <c r="B433" s="68">
        <v>29</v>
      </c>
      <c r="C433" s="61" t="s">
        <v>128</v>
      </c>
      <c r="D433" s="61" t="s">
        <v>1969</v>
      </c>
      <c r="E433" s="61" t="s">
        <v>2198</v>
      </c>
      <c r="F433" s="77" t="s">
        <v>1542</v>
      </c>
      <c r="G433" s="61" t="s">
        <v>342</v>
      </c>
      <c r="H433" s="61" t="s">
        <v>343</v>
      </c>
      <c r="I433" s="61" t="s">
        <v>2496</v>
      </c>
      <c r="J433" s="61" t="s">
        <v>100</v>
      </c>
    </row>
    <row r="434" spans="1:10" x14ac:dyDescent="0.25">
      <c r="A434" s="61" t="s">
        <v>53</v>
      </c>
      <c r="B434" s="68">
        <v>31</v>
      </c>
      <c r="C434" s="61" t="s">
        <v>129</v>
      </c>
      <c r="D434" s="61" t="s">
        <v>1970</v>
      </c>
      <c r="E434" s="61" t="s">
        <v>2199</v>
      </c>
      <c r="F434" s="77" t="s">
        <v>1543</v>
      </c>
      <c r="G434" s="61" t="s">
        <v>344</v>
      </c>
      <c r="H434" s="61" t="s">
        <v>345</v>
      </c>
      <c r="I434" s="61" t="s">
        <v>2497</v>
      </c>
      <c r="J434" s="61" t="s">
        <v>100</v>
      </c>
    </row>
    <row r="435" spans="1:10" x14ac:dyDescent="0.25">
      <c r="A435" s="61" t="s">
        <v>53</v>
      </c>
      <c r="B435" s="68">
        <v>33</v>
      </c>
      <c r="C435" s="61" t="s">
        <v>130</v>
      </c>
      <c r="D435" s="61" t="s">
        <v>2068</v>
      </c>
      <c r="E435" s="61" t="s">
        <v>2200</v>
      </c>
      <c r="F435" s="77" t="s">
        <v>1544</v>
      </c>
      <c r="G435" s="61" t="s">
        <v>346</v>
      </c>
      <c r="H435" s="61" t="s">
        <v>347</v>
      </c>
      <c r="I435" s="61" t="s">
        <v>2498</v>
      </c>
      <c r="J435" s="61" t="s">
        <v>100</v>
      </c>
    </row>
    <row r="436" spans="1:10" x14ac:dyDescent="0.25">
      <c r="A436" s="61" t="s">
        <v>53</v>
      </c>
      <c r="B436" s="68">
        <v>35</v>
      </c>
      <c r="C436" s="61" t="s">
        <v>131</v>
      </c>
      <c r="D436" s="61" t="s">
        <v>2069</v>
      </c>
      <c r="E436" s="61" t="s">
        <v>2201</v>
      </c>
      <c r="F436" s="77" t="s">
        <v>1545</v>
      </c>
      <c r="G436" s="61" t="s">
        <v>348</v>
      </c>
      <c r="H436" s="61" t="s">
        <v>349</v>
      </c>
      <c r="I436" s="61" t="s">
        <v>2499</v>
      </c>
      <c r="J436" s="61" t="s">
        <v>100</v>
      </c>
    </row>
    <row r="437" spans="1:10" x14ac:dyDescent="0.25">
      <c r="A437" s="57" t="s">
        <v>53</v>
      </c>
      <c r="B437" s="68">
        <v>37</v>
      </c>
      <c r="C437" s="63" t="s">
        <v>2604</v>
      </c>
      <c r="D437" s="63" t="s">
        <v>3367</v>
      </c>
      <c r="E437" s="63"/>
      <c r="F437" s="63"/>
      <c r="G437" s="63" t="s">
        <v>3027</v>
      </c>
      <c r="H437" s="57" t="s">
        <v>2809</v>
      </c>
      <c r="I437" s="63"/>
      <c r="J437" s="57" t="s">
        <v>91</v>
      </c>
    </row>
    <row r="438" spans="1:10" x14ac:dyDescent="0.25">
      <c r="A438" s="61" t="s">
        <v>77</v>
      </c>
      <c r="B438" s="61"/>
      <c r="C438" s="61" t="s">
        <v>253</v>
      </c>
      <c r="D438" s="61" t="s">
        <v>2074</v>
      </c>
      <c r="E438" s="61" t="s">
        <v>2263</v>
      </c>
      <c r="F438" s="77" t="s">
        <v>1653</v>
      </c>
      <c r="G438" s="61" t="s">
        <v>578</v>
      </c>
      <c r="H438" s="61" t="s">
        <v>579</v>
      </c>
      <c r="I438" s="75" t="s">
        <v>2445</v>
      </c>
      <c r="J438" s="61" t="s">
        <v>235</v>
      </c>
    </row>
    <row r="439" spans="1:10" x14ac:dyDescent="0.25">
      <c r="A439" s="61" t="s">
        <v>77</v>
      </c>
      <c r="B439" s="61"/>
      <c r="C439" s="61" t="s">
        <v>254</v>
      </c>
      <c r="D439" s="61" t="s">
        <v>1912</v>
      </c>
      <c r="E439" s="61" t="s">
        <v>2262</v>
      </c>
      <c r="F439" s="77" t="s">
        <v>1654</v>
      </c>
      <c r="G439" s="61" t="s">
        <v>580</v>
      </c>
      <c r="H439" s="61" t="s">
        <v>581</v>
      </c>
      <c r="I439" s="75" t="s">
        <v>2446</v>
      </c>
      <c r="J439" s="61" t="s">
        <v>235</v>
      </c>
    </row>
    <row r="440" spans="1:10" x14ac:dyDescent="0.25">
      <c r="A440" s="61" t="s">
        <v>77</v>
      </c>
      <c r="B440" s="61"/>
      <c r="C440" s="61" t="s">
        <v>255</v>
      </c>
      <c r="D440" s="61" t="s">
        <v>1910</v>
      </c>
      <c r="E440" s="61" t="s">
        <v>2264</v>
      </c>
      <c r="F440" s="77" t="s">
        <v>1655</v>
      </c>
      <c r="G440" s="61" t="s">
        <v>582</v>
      </c>
      <c r="H440" s="61" t="s">
        <v>583</v>
      </c>
      <c r="I440" s="75" t="s">
        <v>2447</v>
      </c>
      <c r="J440" s="61" t="s">
        <v>165</v>
      </c>
    </row>
    <row r="441" spans="1:10" x14ac:dyDescent="0.25">
      <c r="A441" s="61" t="s">
        <v>77</v>
      </c>
      <c r="B441" s="61"/>
      <c r="C441" s="61" t="s">
        <v>252</v>
      </c>
      <c r="D441" s="61" t="s">
        <v>2073</v>
      </c>
      <c r="E441" s="61" t="s">
        <v>2261</v>
      </c>
      <c r="F441" s="77" t="s">
        <v>1652</v>
      </c>
      <c r="G441" s="61" t="s">
        <v>576</v>
      </c>
      <c r="H441" s="61" t="s">
        <v>577</v>
      </c>
      <c r="I441" s="75" t="s">
        <v>2444</v>
      </c>
      <c r="J441" s="61" t="s">
        <v>249</v>
      </c>
    </row>
    <row r="442" spans="1:10" x14ac:dyDescent="0.25">
      <c r="A442" s="61" t="s">
        <v>77</v>
      </c>
      <c r="B442" s="61"/>
      <c r="C442" s="61" t="s">
        <v>257</v>
      </c>
      <c r="D442" s="61" t="s">
        <v>1913</v>
      </c>
      <c r="E442" s="61" t="s">
        <v>2266</v>
      </c>
      <c r="F442" s="77" t="s">
        <v>1657</v>
      </c>
      <c r="G442" s="61" t="s">
        <v>586</v>
      </c>
      <c r="H442" s="61" t="s">
        <v>587</v>
      </c>
      <c r="I442" s="75" t="s">
        <v>2449</v>
      </c>
      <c r="J442" s="61" t="s">
        <v>235</v>
      </c>
    </row>
    <row r="443" spans="1:10" x14ac:dyDescent="0.25">
      <c r="A443" s="61" t="s">
        <v>77</v>
      </c>
      <c r="B443" s="61"/>
      <c r="C443" s="61" t="s">
        <v>251</v>
      </c>
      <c r="D443" s="61" t="s">
        <v>2063</v>
      </c>
      <c r="E443" s="61" t="s">
        <v>2182</v>
      </c>
      <c r="F443" s="77" t="s">
        <v>1651</v>
      </c>
      <c r="G443" s="61" t="s">
        <v>574</v>
      </c>
      <c r="H443" s="61" t="s">
        <v>575</v>
      </c>
      <c r="I443" s="75" t="s">
        <v>2443</v>
      </c>
      <c r="J443" s="61" t="s">
        <v>153</v>
      </c>
    </row>
    <row r="444" spans="1:10" x14ac:dyDescent="0.25">
      <c r="A444" s="61" t="s">
        <v>77</v>
      </c>
      <c r="B444" s="61"/>
      <c r="C444" s="61" t="s">
        <v>236</v>
      </c>
      <c r="D444" s="61" t="s">
        <v>1921</v>
      </c>
      <c r="E444" s="61" t="s">
        <v>2186</v>
      </c>
      <c r="F444" s="77" t="s">
        <v>1638</v>
      </c>
      <c r="G444" s="61" t="s">
        <v>550</v>
      </c>
      <c r="H444" s="61" t="s">
        <v>573</v>
      </c>
      <c r="I444" s="75" t="s">
        <v>2442</v>
      </c>
      <c r="J444" s="61" t="s">
        <v>92</v>
      </c>
    </row>
    <row r="445" spans="1:10" x14ac:dyDescent="0.25">
      <c r="A445" s="61" t="s">
        <v>77</v>
      </c>
      <c r="B445" s="61"/>
      <c r="C445" s="61" t="s">
        <v>256</v>
      </c>
      <c r="D445" s="61" t="s">
        <v>1911</v>
      </c>
      <c r="E445" s="61" t="s">
        <v>2265</v>
      </c>
      <c r="F445" s="77" t="s">
        <v>1656</v>
      </c>
      <c r="G445" s="61" t="s">
        <v>584</v>
      </c>
      <c r="H445" s="61" t="s">
        <v>585</v>
      </c>
      <c r="I445" s="75" t="s">
        <v>2448</v>
      </c>
      <c r="J445" s="61" t="s">
        <v>250</v>
      </c>
    </row>
    <row r="446" spans="1:10" x14ac:dyDescent="0.25">
      <c r="A446" s="61" t="s">
        <v>73</v>
      </c>
      <c r="B446" s="61"/>
      <c r="C446" s="61" t="s">
        <v>247</v>
      </c>
      <c r="D446" s="63" t="s">
        <v>2054</v>
      </c>
      <c r="E446" s="61" t="s">
        <v>2260</v>
      </c>
      <c r="F446" s="77" t="s">
        <v>1649</v>
      </c>
      <c r="G446" s="61" t="s">
        <v>569</v>
      </c>
      <c r="H446" s="61" t="s">
        <v>570</v>
      </c>
      <c r="I446" s="75" t="s">
        <v>2440</v>
      </c>
      <c r="J446" s="61" t="s">
        <v>139</v>
      </c>
    </row>
    <row r="447" spans="1:10" x14ac:dyDescent="0.25">
      <c r="A447" s="62" t="s">
        <v>73</v>
      </c>
      <c r="B447" s="62"/>
      <c r="C447" s="62" t="s">
        <v>248</v>
      </c>
      <c r="D447" s="64" t="s">
        <v>3368</v>
      </c>
      <c r="E447" s="62"/>
      <c r="F447" s="69" t="s">
        <v>1650</v>
      </c>
      <c r="G447" s="62" t="s">
        <v>571</v>
      </c>
      <c r="H447" s="62" t="s">
        <v>572</v>
      </c>
      <c r="I447" s="75" t="s">
        <v>2441</v>
      </c>
      <c r="J447" s="62" t="s">
        <v>235</v>
      </c>
    </row>
    <row r="448" spans="1:10" x14ac:dyDescent="0.25">
      <c r="A448" s="61" t="s">
        <v>73</v>
      </c>
      <c r="B448" s="61"/>
      <c r="C448" s="61" t="s">
        <v>245</v>
      </c>
      <c r="D448" s="63" t="s">
        <v>3233</v>
      </c>
      <c r="E448" s="61" t="s">
        <v>2253</v>
      </c>
      <c r="F448" s="77" t="s">
        <v>1647</v>
      </c>
      <c r="G448" s="61" t="s">
        <v>565</v>
      </c>
      <c r="H448" s="61" t="s">
        <v>566</v>
      </c>
      <c r="I448" s="75" t="s">
        <v>2438</v>
      </c>
      <c r="J448" s="61" t="s">
        <v>235</v>
      </c>
    </row>
    <row r="449" spans="1:10" x14ac:dyDescent="0.25">
      <c r="A449" s="61" t="s">
        <v>73</v>
      </c>
      <c r="B449" s="61"/>
      <c r="C449" s="61" t="s">
        <v>246</v>
      </c>
      <c r="D449" s="63" t="s">
        <v>1947</v>
      </c>
      <c r="E449" s="61" t="s">
        <v>2259</v>
      </c>
      <c r="F449" s="77" t="s">
        <v>1648</v>
      </c>
      <c r="G449" s="61" t="s">
        <v>567</v>
      </c>
      <c r="H449" s="61" t="s">
        <v>568</v>
      </c>
      <c r="I449" s="75" t="s">
        <v>2439</v>
      </c>
      <c r="J449" s="61" t="s">
        <v>139</v>
      </c>
    </row>
    <row r="450" spans="1:10" x14ac:dyDescent="0.25">
      <c r="A450" s="61" t="s">
        <v>73</v>
      </c>
      <c r="B450" s="61"/>
      <c r="C450" s="61" t="s">
        <v>244</v>
      </c>
      <c r="D450" s="63" t="s">
        <v>1946</v>
      </c>
      <c r="E450" s="61" t="s">
        <v>2291</v>
      </c>
      <c r="F450" s="77" t="s">
        <v>1646</v>
      </c>
      <c r="G450" s="61" t="s">
        <v>563</v>
      </c>
      <c r="H450" s="61" t="s">
        <v>564</v>
      </c>
      <c r="I450" s="75" t="s">
        <v>2437</v>
      </c>
      <c r="J450" s="61" t="s">
        <v>139</v>
      </c>
    </row>
    <row r="451" spans="1:10" x14ac:dyDescent="0.25">
      <c r="A451" s="61" t="s">
        <v>73</v>
      </c>
      <c r="B451" s="61"/>
      <c r="C451" s="61" t="s">
        <v>242</v>
      </c>
      <c r="D451" s="63" t="s">
        <v>1939</v>
      </c>
      <c r="E451" s="61" t="s">
        <v>2289</v>
      </c>
      <c r="F451" s="77" t="s">
        <v>1644</v>
      </c>
      <c r="G451" s="61" t="s">
        <v>559</v>
      </c>
      <c r="H451" s="61" t="s">
        <v>560</v>
      </c>
      <c r="I451" s="75" t="s">
        <v>2435</v>
      </c>
      <c r="J451" s="61" t="s">
        <v>138</v>
      </c>
    </row>
    <row r="452" spans="1:10" x14ac:dyDescent="0.25">
      <c r="A452" s="61" t="s">
        <v>73</v>
      </c>
      <c r="B452" s="61"/>
      <c r="C452" s="61" t="s">
        <v>243</v>
      </c>
      <c r="D452" s="63" t="s">
        <v>1940</v>
      </c>
      <c r="E452" s="61" t="s">
        <v>2290</v>
      </c>
      <c r="F452" s="77" t="s">
        <v>1645</v>
      </c>
      <c r="G452" s="61" t="s">
        <v>561</v>
      </c>
      <c r="H452" s="61" t="s">
        <v>562</v>
      </c>
      <c r="I452" s="75" t="s">
        <v>2436</v>
      </c>
      <c r="J452" s="61" t="s">
        <v>138</v>
      </c>
    </row>
    <row r="453" spans="1:10" x14ac:dyDescent="0.25">
      <c r="A453" s="61" t="s">
        <v>73</v>
      </c>
      <c r="B453" s="61"/>
      <c r="C453" s="61" t="s">
        <v>236</v>
      </c>
      <c r="D453" s="63" t="s">
        <v>1943</v>
      </c>
      <c r="E453" s="61" t="s">
        <v>2177</v>
      </c>
      <c r="F453" s="77" t="s">
        <v>1638</v>
      </c>
      <c r="G453" s="61" t="s">
        <v>550</v>
      </c>
      <c r="H453" s="61" t="s">
        <v>551</v>
      </c>
      <c r="I453" s="75" t="s">
        <v>2432</v>
      </c>
      <c r="J453" s="61" t="s">
        <v>91</v>
      </c>
    </row>
    <row r="454" spans="1:10" x14ac:dyDescent="0.25">
      <c r="A454" s="61" t="s">
        <v>73</v>
      </c>
      <c r="B454" s="61"/>
      <c r="C454" s="61" t="s">
        <v>237</v>
      </c>
      <c r="D454" s="63" t="s">
        <v>553</v>
      </c>
      <c r="E454" s="61" t="s">
        <v>2251</v>
      </c>
      <c r="F454" s="77" t="s">
        <v>1639</v>
      </c>
      <c r="G454" s="61" t="s">
        <v>552</v>
      </c>
      <c r="H454" s="61" t="s">
        <v>553</v>
      </c>
      <c r="I454" s="75" t="s">
        <v>2433</v>
      </c>
      <c r="J454" s="61" t="s">
        <v>91</v>
      </c>
    </row>
    <row r="455" spans="1:10" x14ac:dyDescent="0.25">
      <c r="A455" s="61" t="s">
        <v>73</v>
      </c>
      <c r="B455" s="61"/>
      <c r="C455" s="61" t="s">
        <v>238</v>
      </c>
      <c r="D455" s="63" t="s">
        <v>1944</v>
      </c>
      <c r="E455" s="61" t="s">
        <v>2252</v>
      </c>
      <c r="F455" s="77" t="s">
        <v>1640</v>
      </c>
      <c r="G455" s="61" t="s">
        <v>554</v>
      </c>
      <c r="H455" s="61" t="s">
        <v>555</v>
      </c>
      <c r="I455" s="75" t="s">
        <v>2434</v>
      </c>
      <c r="J455" s="61" t="s">
        <v>91</v>
      </c>
    </row>
    <row r="456" spans="1:10" x14ac:dyDescent="0.25">
      <c r="A456" s="61" t="s">
        <v>73</v>
      </c>
      <c r="B456" s="61"/>
      <c r="C456" s="61" t="s">
        <v>240</v>
      </c>
      <c r="D456" s="63" t="s">
        <v>1937</v>
      </c>
      <c r="E456" s="61" t="s">
        <v>1937</v>
      </c>
      <c r="F456" s="77" t="s">
        <v>1642</v>
      </c>
      <c r="G456" s="61" t="s">
        <v>557</v>
      </c>
      <c r="H456" s="61" t="s">
        <v>499</v>
      </c>
      <c r="I456" s="75" t="s">
        <v>2410</v>
      </c>
      <c r="J456" s="61" t="s">
        <v>91</v>
      </c>
    </row>
    <row r="457" spans="1:10" x14ac:dyDescent="0.25">
      <c r="A457" s="61" t="s">
        <v>73</v>
      </c>
      <c r="B457" s="61"/>
      <c r="C457" s="61" t="s">
        <v>241</v>
      </c>
      <c r="D457" s="63" t="s">
        <v>1945</v>
      </c>
      <c r="E457" s="61" t="s">
        <v>2172</v>
      </c>
      <c r="F457" s="77" t="s">
        <v>1643</v>
      </c>
      <c r="G457" s="61" t="s">
        <v>558</v>
      </c>
      <c r="H457" s="61" t="s">
        <v>501</v>
      </c>
      <c r="I457" s="75" t="s">
        <v>2411</v>
      </c>
      <c r="J457" s="61" t="s">
        <v>91</v>
      </c>
    </row>
    <row r="458" spans="1:10" x14ac:dyDescent="0.25">
      <c r="A458" s="61" t="s">
        <v>73</v>
      </c>
      <c r="B458" s="61"/>
      <c r="C458" s="61" t="s">
        <v>239</v>
      </c>
      <c r="D458" s="63" t="s">
        <v>1936</v>
      </c>
      <c r="E458" s="61" t="s">
        <v>2171</v>
      </c>
      <c r="F458" s="77" t="s">
        <v>1641</v>
      </c>
      <c r="G458" s="61" t="s">
        <v>556</v>
      </c>
      <c r="H458" s="61" t="s">
        <v>497</v>
      </c>
      <c r="I458" s="75" t="s">
        <v>2409</v>
      </c>
      <c r="J458" s="61"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50</vt:i4>
      </vt:variant>
      <vt:variant>
        <vt:lpstr>Named Ranges</vt:lpstr>
      </vt:variant>
      <vt:variant>
        <vt:i4>1</vt:i4>
      </vt:variant>
    </vt:vector>
  </HeadingPairs>
  <TitlesOfParts>
    <vt:vector size="51" baseType="lpstr">
      <vt:lpstr>Menu</vt:lpstr>
      <vt:lpstr>ReadMe</vt:lpstr>
      <vt:lpstr>Sheet Index</vt:lpstr>
      <vt:lpstr>EXP_METADATA</vt:lpstr>
      <vt:lpstr>PLOT_DETAILS</vt:lpstr>
      <vt:lpstr>PERSONS</vt:lpstr>
      <vt:lpstr>INSTITUTIONS</vt:lpstr>
      <vt:lpstr>DOCUMENTS</vt:lpstr>
      <vt:lpstr>DropDown</vt:lpstr>
      <vt:lpstr>DynamicDropDown</vt:lpstr>
      <vt:lpstr>Dictionary</vt:lpstr>
      <vt:lpstr>GENOTYPES</vt:lpstr>
      <vt:lpstr>FIELDS</vt:lpstr>
      <vt:lpstr>TILLAGE</vt:lpstr>
      <vt:lpstr>TILLAGE_EVENTS</vt:lpstr>
      <vt:lpstr>INITIAL_CONDITIONS</vt:lpstr>
      <vt:lpstr>INITIAL_COND_LAYERS</vt:lpstr>
      <vt:lpstr>PLANTINGS</vt:lpstr>
      <vt:lpstr>IRRIGATIONS</vt:lpstr>
      <vt:lpstr>IRRIGATION_APPLICATIONS</vt:lpstr>
      <vt:lpstr>ORGANIC_MATERIALS</vt:lpstr>
      <vt:lpstr>ORGANIC_MATERIAL_APPLICS</vt:lpstr>
      <vt:lpstr>FERTILIZERS</vt:lpstr>
      <vt:lpstr>FERTILIZER_APPLICS</vt:lpstr>
      <vt:lpstr>CHEMICALS</vt:lpstr>
      <vt:lpstr>CHEMICAL_APPLICATIONS</vt:lpstr>
      <vt:lpstr>HARVESTS</vt:lpstr>
      <vt:lpstr>HARVEST_EVENTS</vt:lpstr>
      <vt:lpstr>TREATMENTS</vt:lpstr>
      <vt:lpstr>SOIL_METADATA</vt:lpstr>
      <vt:lpstr>SOIL_PROFILES</vt:lpstr>
      <vt:lpstr>SOIL_PROFILE_LAYERS</vt:lpstr>
      <vt:lpstr>WEAT_METADATA</vt:lpstr>
      <vt:lpstr>WEAT_DAILY</vt:lpstr>
      <vt:lpstr>OBS_DATA_LINKS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2025-03-05T14:14:49Z</dcterms:modified>
</cp:coreProperties>
</file>